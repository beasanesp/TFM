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Bea\Desktop\RESULTADOS_FINALES\Tablas_comparativas\"/>
    </mc:Choice>
  </mc:AlternateContent>
  <xr:revisionPtr revIDLastSave="0" documentId="13_ncr:1_{309A835D-6B12-4964-9CF6-61EB07089B07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DeVCopy" sheetId="1" r:id="rId1"/>
    <sheet name="Hoja1" sheetId="2" r:id="rId2"/>
    <sheet name="Hoja2" sheetId="4" r:id="rId3"/>
    <sheet name="Hoja3" sheetId="5" r:id="rId4"/>
    <sheet name="Hoja4" sheetId="7" r:id="rId5"/>
    <sheet name="Hoja5" sheetId="8" r:id="rId6"/>
    <sheet name="feature_imp" sheetId="11" r:id="rId7"/>
    <sheet name="Hoja7" sheetId="10" r:id="rId8"/>
  </sheets>
  <definedNames>
    <definedName name="DatosExternos_1" localSheetId="6" hidden="1">feature_imp!$A$1:$G$7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F3749E-DF01-484B-9163-ECA14D508186}" keepAlive="1" name="Consulta - feature_imp" description="Conexión a la consulta 'feature_imp' en el libro." type="5" refreshedVersion="8" background="1" saveData="1">
    <dbPr connection="Provider=Microsoft.Mashup.OleDb.1;Data Source=$Workbook$;Location=feature_imp;Extended Properties=&quot;&quot;" command="SELECT * FROM [feature_imp]"/>
  </connection>
</connections>
</file>

<file path=xl/sharedStrings.xml><?xml version="1.0" encoding="utf-8"?>
<sst xmlns="http://schemas.openxmlformats.org/spreadsheetml/2006/main" count="493" uniqueCount="73">
  <si>
    <t>Dataset</t>
  </si>
  <si>
    <t>Accuracy</t>
  </si>
  <si>
    <t>Class</t>
  </si>
  <si>
    <t>Precision</t>
  </si>
  <si>
    <t>Recall</t>
  </si>
  <si>
    <t>F1-score</t>
  </si>
  <si>
    <t>ICR96</t>
  </si>
  <si>
    <t>Normal</t>
  </si>
  <si>
    <t>CNV</t>
  </si>
  <si>
    <t>TP</t>
  </si>
  <si>
    <t>TN</t>
  </si>
  <si>
    <t>FP</t>
  </si>
  <si>
    <t>FN</t>
  </si>
  <si>
    <t>NG</t>
  </si>
  <si>
    <t>Raw</t>
  </si>
  <si>
    <t>Decon</t>
  </si>
  <si>
    <t>Filtered</t>
  </si>
  <si>
    <t>Analysis</t>
  </si>
  <si>
    <t>DeVCopy model</t>
  </si>
  <si>
    <t>Mi modelo</t>
  </si>
  <si>
    <t>Batch1</t>
  </si>
  <si>
    <t>Batch2</t>
  </si>
  <si>
    <t>Merged_batch</t>
  </si>
  <si>
    <t>Model</t>
  </si>
  <si>
    <t>Batch1-model</t>
  </si>
  <si>
    <t>ICR97</t>
  </si>
  <si>
    <t>ICR98</t>
  </si>
  <si>
    <t>Batch2-model</t>
  </si>
  <si>
    <t>Merged-model</t>
  </si>
  <si>
    <t>DeVCopy</t>
  </si>
  <si>
    <t>Instance Weighting</t>
  </si>
  <si>
    <t>Finetunning</t>
  </si>
  <si>
    <t>Entrenamiento del nuevo modelo y comparación con DeVCopy</t>
  </si>
  <si>
    <t>Domain Adaptation</t>
  </si>
  <si>
    <t>ICR96 sample</t>
  </si>
  <si>
    <t>NG sample</t>
  </si>
  <si>
    <t>Twist sample</t>
  </si>
  <si>
    <t>Modelo entrenado en batch balaneceado, inferencia en samples desbalanceadas</t>
  </si>
  <si>
    <t>Merged-batched model (undersampling)</t>
  </si>
  <si>
    <t>Merged-batched model (oversampling)</t>
  </si>
  <si>
    <t>Twist dataset</t>
  </si>
  <si>
    <t>202502_model (unbalanced)</t>
  </si>
  <si>
    <t>ICR96 dataset</t>
  </si>
  <si>
    <t>DeVCopy Model</t>
  </si>
  <si>
    <t>Datasets</t>
  </si>
  <si>
    <t>Feature.importance</t>
  </si>
  <si>
    <t>batch1</t>
  </si>
  <si>
    <t>batch2</t>
  </si>
  <si>
    <t>merged</t>
  </si>
  <si>
    <t>DA</t>
  </si>
  <si>
    <t>KMM.ICR96</t>
  </si>
  <si>
    <t>KMM.NG</t>
  </si>
  <si>
    <t>batch1.real</t>
  </si>
  <si>
    <t>doc</t>
  </si>
  <si>
    <t>doc.sd</t>
  </si>
  <si>
    <t>gc.perc</t>
  </si>
  <si>
    <t>repeatmasked</t>
  </si>
  <si>
    <t>length</t>
  </si>
  <si>
    <t>log</t>
  </si>
  <si>
    <t>Fine-tuning ICR96</t>
  </si>
  <si>
    <t>Fine-tuning NG</t>
  </si>
  <si>
    <t>ICR96 sample DECoN</t>
  </si>
  <si>
    <t>NG sample DECoN</t>
  </si>
  <si>
    <t>Finetuning</t>
  </si>
  <si>
    <t>Initial test</t>
  </si>
  <si>
    <t>202502 model</t>
  </si>
  <si>
    <t>202503 model</t>
  </si>
  <si>
    <t>202502 + 202503 model</t>
  </si>
  <si>
    <t>DEL</t>
  </si>
  <si>
    <t>DUP</t>
  </si>
  <si>
    <t>NG dataset</t>
  </si>
  <si>
    <t>DECoN</t>
  </si>
  <si>
    <t>Three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</si>
</sst>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0" xfId="0" applyFont="1"/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1" xfId="0" applyBorder="1"/>
    <xf numFmtId="0" fontId="0" fillId="0" borderId="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1" xfId="0" applyBorder="1"/>
    <xf numFmtId="0" fontId="0" fillId="0" borderId="4" xfId="0" applyBorder="1"/>
    <xf numFmtId="0" fontId="1" fillId="0" borderId="4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0" fillId="0" borderId="2" xfId="0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justify" vertical="center"/>
    </xf>
    <xf numFmtId="0" fontId="0" fillId="3" borderId="0" xfId="0" applyFill="1"/>
    <xf numFmtId="0" fontId="0" fillId="0" borderId="23" xfId="0" applyBorder="1"/>
    <xf numFmtId="0" fontId="9" fillId="0" borderId="31" xfId="0" applyFont="1" applyBorder="1" applyAlignment="1">
      <alignment horizontal="justify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0" fillId="0" borderId="10" xfId="0" applyBorder="1"/>
    <xf numFmtId="0" fontId="0" fillId="0" borderId="2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2" borderId="0" xfId="0" applyFill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1" fillId="0" borderId="10" xfId="0" applyFont="1" applyBorder="1"/>
    <xf numFmtId="0" fontId="0" fillId="0" borderId="0" xfId="0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</cellXfs>
  <cellStyles count="1">
    <cellStyle name="Normal" xfId="0" builtinId="0"/>
  </cellStyles>
  <dxfs count="3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DeVCopy!$D$4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DeVCopy!$B$5:$C$16</c:f>
              <c:multiLvlStrCache>
                <c:ptCount val="11"/>
                <c:lvl>
                  <c:pt idx="0">
                    <c:v>Raw</c:v>
                  </c:pt>
                  <c:pt idx="2">
                    <c:v>Decon</c:v>
                  </c:pt>
                  <c:pt idx="4">
                    <c:v>Filtered</c:v>
                  </c:pt>
                  <c:pt idx="6">
                    <c:v>Raw</c:v>
                  </c:pt>
                  <c:pt idx="8">
                    <c:v>Decon</c:v>
                  </c:pt>
                  <c:pt idx="10">
                    <c:v>Filtered</c:v>
                  </c:pt>
                </c:lvl>
                <c:lvl>
                  <c:pt idx="0">
                    <c:v>ICR96</c:v>
                  </c:pt>
                  <c:pt idx="6">
                    <c:v>NG</c:v>
                  </c:pt>
                </c:lvl>
              </c:multiLvlStrCache>
            </c:multiLvlStrRef>
          </c:cat>
          <c:val>
            <c:numRef>
              <c:f>DeVCopy!$D$5:$D$16</c:f>
              <c:numCache>
                <c:formatCode>General</c:formatCode>
                <c:ptCount val="12"/>
                <c:pt idx="0">
                  <c:v>0.55000000000000004</c:v>
                </c:pt>
                <c:pt idx="2">
                  <c:v>0.56000000000000005</c:v>
                </c:pt>
                <c:pt idx="4">
                  <c:v>0.4</c:v>
                </c:pt>
                <c:pt idx="6">
                  <c:v>0.45</c:v>
                </c:pt>
                <c:pt idx="8">
                  <c:v>0.51</c:v>
                </c:pt>
                <c:pt idx="10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3-46BF-A365-2FA77BB73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9557856"/>
        <c:axId val="1449561216"/>
      </c:barChart>
      <c:catAx>
        <c:axId val="144955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9561216"/>
        <c:crosses val="autoZero"/>
        <c:auto val="1"/>
        <c:lblAlgn val="ctr"/>
        <c:lblOffset val="100"/>
        <c:noMultiLvlLbl val="0"/>
      </c:catAx>
      <c:valAx>
        <c:axId val="144956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955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F1-score</a:t>
            </a:r>
            <a:r>
              <a:rPr lang="es-ES" baseline="0"/>
              <a:t> in ICR96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DeVCopy!$Z$19:$AA$24</c:f>
              <c:multiLvlStrCache>
                <c:ptCount val="6"/>
                <c:lvl>
                  <c:pt idx="0">
                    <c:v>Normal</c:v>
                  </c:pt>
                  <c:pt idx="1">
                    <c:v>CNV</c:v>
                  </c:pt>
                  <c:pt idx="2">
                    <c:v>Normal</c:v>
                  </c:pt>
                  <c:pt idx="3">
                    <c:v>CNV</c:v>
                  </c:pt>
                  <c:pt idx="4">
                    <c:v>Normal</c:v>
                  </c:pt>
                  <c:pt idx="5">
                    <c:v>CNV</c:v>
                  </c:pt>
                </c:lvl>
                <c:lvl>
                  <c:pt idx="0">
                    <c:v>Raw</c:v>
                  </c:pt>
                  <c:pt idx="2">
                    <c:v>Decon</c:v>
                  </c:pt>
                  <c:pt idx="4">
                    <c:v>Filtered</c:v>
                  </c:pt>
                </c:lvl>
              </c:multiLvlStrCache>
            </c:multiLvlStrRef>
          </c:cat>
          <c:val>
            <c:numRef>
              <c:f>DeVCopy!$AB$19:$AB$24</c:f>
              <c:numCache>
                <c:formatCode>General</c:formatCode>
                <c:ptCount val="6"/>
                <c:pt idx="0">
                  <c:v>0.54</c:v>
                </c:pt>
                <c:pt idx="1">
                  <c:v>0.56000000000000005</c:v>
                </c:pt>
                <c:pt idx="2">
                  <c:v>0.55000000000000004</c:v>
                </c:pt>
                <c:pt idx="3">
                  <c:v>0.56999999999999995</c:v>
                </c:pt>
                <c:pt idx="4">
                  <c:v>0.2</c:v>
                </c:pt>
                <c:pt idx="5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2-4795-9CB9-A89F1CEE3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651120"/>
        <c:axId val="1877652560"/>
      </c:barChart>
      <c:catAx>
        <c:axId val="187765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77652560"/>
        <c:crosses val="autoZero"/>
        <c:auto val="1"/>
        <c:lblAlgn val="ctr"/>
        <c:lblOffset val="100"/>
        <c:noMultiLvlLbl val="0"/>
      </c:catAx>
      <c:valAx>
        <c:axId val="187765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7765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F1-score</a:t>
            </a:r>
            <a:r>
              <a:rPr lang="es-ES" baseline="0"/>
              <a:t> in NG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DeVCopy!$AH$19:$AI$24</c:f>
              <c:multiLvlStrCache>
                <c:ptCount val="6"/>
                <c:lvl>
                  <c:pt idx="0">
                    <c:v>Normal</c:v>
                  </c:pt>
                  <c:pt idx="1">
                    <c:v>CNV</c:v>
                  </c:pt>
                  <c:pt idx="2">
                    <c:v>Normal</c:v>
                  </c:pt>
                  <c:pt idx="3">
                    <c:v>CNV</c:v>
                  </c:pt>
                  <c:pt idx="4">
                    <c:v>Normal</c:v>
                  </c:pt>
                  <c:pt idx="5">
                    <c:v>CNV</c:v>
                  </c:pt>
                </c:lvl>
                <c:lvl>
                  <c:pt idx="0">
                    <c:v>Raw</c:v>
                  </c:pt>
                  <c:pt idx="2">
                    <c:v>Decon</c:v>
                  </c:pt>
                  <c:pt idx="4">
                    <c:v>Filtered</c:v>
                  </c:pt>
                </c:lvl>
              </c:multiLvlStrCache>
            </c:multiLvlStrRef>
          </c:cat>
          <c:val>
            <c:numRef>
              <c:f>DeVCopy!$AJ$19:$AJ$24</c:f>
              <c:numCache>
                <c:formatCode>General</c:formatCode>
                <c:ptCount val="6"/>
                <c:pt idx="0">
                  <c:v>0.09</c:v>
                </c:pt>
                <c:pt idx="1">
                  <c:v>0.6</c:v>
                </c:pt>
                <c:pt idx="2">
                  <c:v>0.18</c:v>
                </c:pt>
                <c:pt idx="3">
                  <c:v>0.65</c:v>
                </c:pt>
                <c:pt idx="4">
                  <c:v>0</c:v>
                </c:pt>
                <c:pt idx="5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9-48AC-8A82-6EF631279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6166608"/>
        <c:axId val="1566164688"/>
      </c:barChart>
      <c:catAx>
        <c:axId val="15661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164688"/>
        <c:crosses val="autoZero"/>
        <c:auto val="1"/>
        <c:lblAlgn val="ctr"/>
        <c:lblOffset val="100"/>
        <c:noMultiLvlLbl val="0"/>
      </c:catAx>
      <c:valAx>
        <c:axId val="156616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16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F1-score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Hoja1!$H$29:$I$34</c:f>
              <c:multiLvlStrCache>
                <c:ptCount val="6"/>
                <c:lvl>
                  <c:pt idx="0">
                    <c:v>Normal</c:v>
                  </c:pt>
                  <c:pt idx="1">
                    <c:v>CNV</c:v>
                  </c:pt>
                  <c:pt idx="2">
                    <c:v>Normal</c:v>
                  </c:pt>
                  <c:pt idx="3">
                    <c:v>CNV</c:v>
                  </c:pt>
                  <c:pt idx="4">
                    <c:v>Normal</c:v>
                  </c:pt>
                  <c:pt idx="5">
                    <c:v>CNV</c:v>
                  </c:pt>
                </c:lvl>
                <c:lvl>
                  <c:pt idx="0">
                    <c:v>Batch1</c:v>
                  </c:pt>
                  <c:pt idx="2">
                    <c:v>Batch2</c:v>
                  </c:pt>
                  <c:pt idx="4">
                    <c:v>Merged_batch</c:v>
                  </c:pt>
                </c:lvl>
              </c:multiLvlStrCache>
            </c:multiLvlStrRef>
          </c:cat>
          <c:val>
            <c:numRef>
              <c:f>Hoja1!$J$29:$J$34</c:f>
              <c:numCache>
                <c:formatCode>General</c:formatCode>
                <c:ptCount val="6"/>
                <c:pt idx="0">
                  <c:v>0.9</c:v>
                </c:pt>
                <c:pt idx="1">
                  <c:v>0.9</c:v>
                </c:pt>
                <c:pt idx="2">
                  <c:v>0.89</c:v>
                </c:pt>
                <c:pt idx="3">
                  <c:v>0.88</c:v>
                </c:pt>
                <c:pt idx="4">
                  <c:v>0.89</c:v>
                </c:pt>
                <c:pt idx="5">
                  <c:v>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6-4EED-AB19-047E9B038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5116080"/>
        <c:axId val="615107440"/>
      </c:barChart>
      <c:catAx>
        <c:axId val="61511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5107440"/>
        <c:crosses val="autoZero"/>
        <c:auto val="1"/>
        <c:lblAlgn val="ctr"/>
        <c:lblOffset val="100"/>
        <c:noMultiLvlLbl val="0"/>
      </c:catAx>
      <c:valAx>
        <c:axId val="61510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511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Hoja2!$E$3</c:f>
              <c:strCache>
                <c:ptCount val="1"/>
                <c:pt idx="0">
                  <c:v>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Hoja2!$E$4:$E$19</c:f>
              <c:numCache>
                <c:formatCode>General</c:formatCode>
                <c:ptCount val="16"/>
                <c:pt idx="0">
                  <c:v>201</c:v>
                </c:pt>
                <c:pt idx="2">
                  <c:v>1206</c:v>
                </c:pt>
                <c:pt idx="4">
                  <c:v>243</c:v>
                </c:pt>
                <c:pt idx="6">
                  <c:v>1320</c:v>
                </c:pt>
                <c:pt idx="8">
                  <c:v>28</c:v>
                </c:pt>
                <c:pt idx="10">
                  <c:v>836</c:v>
                </c:pt>
                <c:pt idx="12">
                  <c:v>167</c:v>
                </c:pt>
                <c:pt idx="14">
                  <c:v>1139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5-4194-8E26-CBEBD2A1DB13}"/>
            </c:ext>
          </c:extLst>
        </c:ser>
        <c:ser>
          <c:idx val="1"/>
          <c:order val="1"/>
          <c:tx>
            <c:strRef>
              <c:f>Hoja2!$F$3</c:f>
              <c:strCache>
                <c:ptCount val="1"/>
                <c:pt idx="0">
                  <c:v>TN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Hoja2!$F$4:$F$19</c:f>
              <c:numCache>
                <c:formatCode>General</c:formatCode>
                <c:ptCount val="16"/>
                <c:pt idx="0">
                  <c:v>175</c:v>
                </c:pt>
                <c:pt idx="2">
                  <c:v>64</c:v>
                </c:pt>
                <c:pt idx="4">
                  <c:v>115</c:v>
                </c:pt>
                <c:pt idx="6">
                  <c:v>8</c:v>
                </c:pt>
                <c:pt idx="8">
                  <c:v>258</c:v>
                </c:pt>
                <c:pt idx="10">
                  <c:v>383</c:v>
                </c:pt>
                <c:pt idx="12">
                  <c:v>158</c:v>
                </c:pt>
                <c:pt idx="14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95-4194-8E26-CBEBD2A1DB13}"/>
            </c:ext>
          </c:extLst>
        </c:ser>
        <c:ser>
          <c:idx val="2"/>
          <c:order val="2"/>
          <c:tx>
            <c:strRef>
              <c:f>Hoja2!$G$3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Hoja2!$G$4:$G$19</c:f>
              <c:numCache>
                <c:formatCode>General</c:formatCode>
                <c:ptCount val="16"/>
                <c:pt idx="0">
                  <c:v>121</c:v>
                </c:pt>
                <c:pt idx="2">
                  <c:v>1294</c:v>
                </c:pt>
                <c:pt idx="4">
                  <c:v>181</c:v>
                </c:pt>
                <c:pt idx="6">
                  <c:v>1350</c:v>
                </c:pt>
                <c:pt idx="8">
                  <c:v>38</c:v>
                </c:pt>
                <c:pt idx="10">
                  <c:v>975</c:v>
                </c:pt>
                <c:pt idx="12">
                  <c:v>138</c:v>
                </c:pt>
                <c:pt idx="14">
                  <c:v>1282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95-4194-8E26-CBEBD2A1DB13}"/>
            </c:ext>
          </c:extLst>
        </c:ser>
        <c:ser>
          <c:idx val="3"/>
          <c:order val="3"/>
          <c:tx>
            <c:strRef>
              <c:f>Hoja2!$H$3</c:f>
              <c:strCache>
                <c:ptCount val="1"/>
                <c:pt idx="0">
                  <c:v>FN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Hoja2!$H$4:$H$19</c:f>
              <c:numCache>
                <c:formatCode>General</c:formatCode>
                <c:ptCount val="16"/>
                <c:pt idx="0">
                  <c:v>95</c:v>
                </c:pt>
                <c:pt idx="2">
                  <c:v>152</c:v>
                </c:pt>
                <c:pt idx="4">
                  <c:v>53</c:v>
                </c:pt>
                <c:pt idx="6">
                  <c:v>38</c:v>
                </c:pt>
                <c:pt idx="8">
                  <c:v>268</c:v>
                </c:pt>
                <c:pt idx="10">
                  <c:v>522</c:v>
                </c:pt>
                <c:pt idx="12">
                  <c:v>129</c:v>
                </c:pt>
                <c:pt idx="14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95-4194-8E26-CBEBD2A1D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5807488"/>
        <c:axId val="1535810368"/>
      </c:barChart>
      <c:catAx>
        <c:axId val="153580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35810368"/>
        <c:crosses val="autoZero"/>
        <c:auto val="1"/>
        <c:lblAlgn val="ctr"/>
        <c:lblOffset val="100"/>
        <c:noMultiLvlLbl val="0"/>
      </c:catAx>
      <c:valAx>
        <c:axId val="153581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3580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ICR96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Hoja2!$W$12</c:f>
              <c:strCache>
                <c:ptCount val="1"/>
                <c:pt idx="0">
                  <c:v>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Hoja2!$V$13:$V$16</c:f>
              <c:strCache>
                <c:ptCount val="4"/>
                <c:pt idx="0">
                  <c:v>202502 model</c:v>
                </c:pt>
                <c:pt idx="1">
                  <c:v>202503 model</c:v>
                </c:pt>
                <c:pt idx="2">
                  <c:v>202502 + 202503 model</c:v>
                </c:pt>
                <c:pt idx="3">
                  <c:v>DeVCopy</c:v>
                </c:pt>
              </c:strCache>
            </c:strRef>
          </c:cat>
          <c:val>
            <c:numRef>
              <c:f>Hoja2!$W$13:$W$16</c:f>
              <c:numCache>
                <c:formatCode>General</c:formatCode>
                <c:ptCount val="4"/>
                <c:pt idx="0">
                  <c:v>201</c:v>
                </c:pt>
                <c:pt idx="1">
                  <c:v>243</c:v>
                </c:pt>
                <c:pt idx="2">
                  <c:v>28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6-4AE4-AA35-FE61F9868067}"/>
            </c:ext>
          </c:extLst>
        </c:ser>
        <c:ser>
          <c:idx val="1"/>
          <c:order val="1"/>
          <c:tx>
            <c:strRef>
              <c:f>Hoja2!$X$12</c:f>
              <c:strCache>
                <c:ptCount val="1"/>
                <c:pt idx="0">
                  <c:v>TN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Hoja2!$V$13:$V$16</c:f>
              <c:strCache>
                <c:ptCount val="4"/>
                <c:pt idx="0">
                  <c:v>202502 model</c:v>
                </c:pt>
                <c:pt idx="1">
                  <c:v>202503 model</c:v>
                </c:pt>
                <c:pt idx="2">
                  <c:v>202502 + 202503 model</c:v>
                </c:pt>
                <c:pt idx="3">
                  <c:v>DeVCopy</c:v>
                </c:pt>
              </c:strCache>
            </c:strRef>
          </c:cat>
          <c:val>
            <c:numRef>
              <c:f>Hoja2!$X$13:$X$16</c:f>
              <c:numCache>
                <c:formatCode>General</c:formatCode>
                <c:ptCount val="4"/>
                <c:pt idx="0">
                  <c:v>175</c:v>
                </c:pt>
                <c:pt idx="1">
                  <c:v>115</c:v>
                </c:pt>
                <c:pt idx="2">
                  <c:v>258</c:v>
                </c:pt>
                <c:pt idx="3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D6-4AE4-AA35-FE61F9868067}"/>
            </c:ext>
          </c:extLst>
        </c:ser>
        <c:ser>
          <c:idx val="2"/>
          <c:order val="2"/>
          <c:tx>
            <c:strRef>
              <c:f>Hoja2!$Y$12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Hoja2!$V$13:$V$16</c:f>
              <c:strCache>
                <c:ptCount val="4"/>
                <c:pt idx="0">
                  <c:v>202502 model</c:v>
                </c:pt>
                <c:pt idx="1">
                  <c:v>202503 model</c:v>
                </c:pt>
                <c:pt idx="2">
                  <c:v>202502 + 202503 model</c:v>
                </c:pt>
                <c:pt idx="3">
                  <c:v>DeVCopy</c:v>
                </c:pt>
              </c:strCache>
            </c:strRef>
          </c:cat>
          <c:val>
            <c:numRef>
              <c:f>Hoja2!$Y$13:$Y$16</c:f>
              <c:numCache>
                <c:formatCode>General</c:formatCode>
                <c:ptCount val="4"/>
                <c:pt idx="0">
                  <c:v>121</c:v>
                </c:pt>
                <c:pt idx="1">
                  <c:v>181</c:v>
                </c:pt>
                <c:pt idx="2">
                  <c:v>38</c:v>
                </c:pt>
                <c:pt idx="3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D6-4AE4-AA35-FE61F9868067}"/>
            </c:ext>
          </c:extLst>
        </c:ser>
        <c:ser>
          <c:idx val="3"/>
          <c:order val="3"/>
          <c:tx>
            <c:strRef>
              <c:f>Hoja2!$Z$12</c:f>
              <c:strCache>
                <c:ptCount val="1"/>
                <c:pt idx="0">
                  <c:v>FN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Hoja2!$V$13:$V$16</c:f>
              <c:strCache>
                <c:ptCount val="4"/>
                <c:pt idx="0">
                  <c:v>202502 model</c:v>
                </c:pt>
                <c:pt idx="1">
                  <c:v>202503 model</c:v>
                </c:pt>
                <c:pt idx="2">
                  <c:v>202502 + 202503 model</c:v>
                </c:pt>
                <c:pt idx="3">
                  <c:v>DeVCopy</c:v>
                </c:pt>
              </c:strCache>
            </c:strRef>
          </c:cat>
          <c:val>
            <c:numRef>
              <c:f>Hoja2!$Z$13:$Z$16</c:f>
              <c:numCache>
                <c:formatCode>General</c:formatCode>
                <c:ptCount val="4"/>
                <c:pt idx="0">
                  <c:v>95</c:v>
                </c:pt>
                <c:pt idx="1">
                  <c:v>53</c:v>
                </c:pt>
                <c:pt idx="2">
                  <c:v>268</c:v>
                </c:pt>
                <c:pt idx="3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D6-4AE4-AA35-FE61F98680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2777312"/>
        <c:axId val="1212777792"/>
      </c:barChart>
      <c:catAx>
        <c:axId val="121277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2777792"/>
        <c:crosses val="autoZero"/>
        <c:auto val="1"/>
        <c:lblAlgn val="ctr"/>
        <c:lblOffset val="100"/>
        <c:noMultiLvlLbl val="0"/>
      </c:catAx>
      <c:valAx>
        <c:axId val="1212777792"/>
        <c:scaling>
          <c:orientation val="minMax"/>
          <c:max val="1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277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NG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Hoja2!$AC$12</c:f>
              <c:strCache>
                <c:ptCount val="1"/>
                <c:pt idx="0">
                  <c:v>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Hoja2!$AB$13:$AB$16</c:f>
              <c:strCache>
                <c:ptCount val="4"/>
                <c:pt idx="0">
                  <c:v>202502 model</c:v>
                </c:pt>
                <c:pt idx="1">
                  <c:v>202503 model</c:v>
                </c:pt>
                <c:pt idx="2">
                  <c:v>202502 + 202503 model</c:v>
                </c:pt>
                <c:pt idx="3">
                  <c:v>DeVCopy</c:v>
                </c:pt>
              </c:strCache>
            </c:strRef>
          </c:cat>
          <c:val>
            <c:numRef>
              <c:f>Hoja2!$AC$13:$AC$16</c:f>
              <c:numCache>
                <c:formatCode>General</c:formatCode>
                <c:ptCount val="4"/>
                <c:pt idx="0">
                  <c:v>1206</c:v>
                </c:pt>
                <c:pt idx="1">
                  <c:v>1320</c:v>
                </c:pt>
                <c:pt idx="2">
                  <c:v>836</c:v>
                </c:pt>
                <c:pt idx="3">
                  <c:v>1139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6-4603-9329-0BF10552F0A9}"/>
            </c:ext>
          </c:extLst>
        </c:ser>
        <c:ser>
          <c:idx val="1"/>
          <c:order val="1"/>
          <c:tx>
            <c:strRef>
              <c:f>Hoja2!$AD$12</c:f>
              <c:strCache>
                <c:ptCount val="1"/>
                <c:pt idx="0">
                  <c:v>TN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Hoja2!$AB$13:$AB$16</c:f>
              <c:strCache>
                <c:ptCount val="4"/>
                <c:pt idx="0">
                  <c:v>202502 model</c:v>
                </c:pt>
                <c:pt idx="1">
                  <c:v>202503 model</c:v>
                </c:pt>
                <c:pt idx="2">
                  <c:v>202502 + 202503 model</c:v>
                </c:pt>
                <c:pt idx="3">
                  <c:v>DeVCopy</c:v>
                </c:pt>
              </c:strCache>
            </c:strRef>
          </c:cat>
          <c:val>
            <c:numRef>
              <c:f>Hoja2!$AD$13:$AD$16</c:f>
              <c:numCache>
                <c:formatCode>General</c:formatCode>
                <c:ptCount val="4"/>
                <c:pt idx="0">
                  <c:v>64</c:v>
                </c:pt>
                <c:pt idx="1">
                  <c:v>8</c:v>
                </c:pt>
                <c:pt idx="2">
                  <c:v>383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6-4603-9329-0BF10552F0A9}"/>
            </c:ext>
          </c:extLst>
        </c:ser>
        <c:ser>
          <c:idx val="2"/>
          <c:order val="2"/>
          <c:tx>
            <c:strRef>
              <c:f>Hoja2!$AE$12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Hoja2!$AB$13:$AB$16</c:f>
              <c:strCache>
                <c:ptCount val="4"/>
                <c:pt idx="0">
                  <c:v>202502 model</c:v>
                </c:pt>
                <c:pt idx="1">
                  <c:v>202503 model</c:v>
                </c:pt>
                <c:pt idx="2">
                  <c:v>202502 + 202503 model</c:v>
                </c:pt>
                <c:pt idx="3">
                  <c:v>DeVCopy</c:v>
                </c:pt>
              </c:strCache>
            </c:strRef>
          </c:cat>
          <c:val>
            <c:numRef>
              <c:f>Hoja2!$AE$13:$AE$16</c:f>
              <c:numCache>
                <c:formatCode>General</c:formatCode>
                <c:ptCount val="4"/>
                <c:pt idx="0">
                  <c:v>1294</c:v>
                </c:pt>
                <c:pt idx="1">
                  <c:v>1350</c:v>
                </c:pt>
                <c:pt idx="2">
                  <c:v>975</c:v>
                </c:pt>
                <c:pt idx="3">
                  <c:v>1282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6-4603-9329-0BF10552F0A9}"/>
            </c:ext>
          </c:extLst>
        </c:ser>
        <c:ser>
          <c:idx val="3"/>
          <c:order val="3"/>
          <c:tx>
            <c:strRef>
              <c:f>Hoja2!$AF$12</c:f>
              <c:strCache>
                <c:ptCount val="1"/>
                <c:pt idx="0">
                  <c:v>FN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Hoja2!$AB$13:$AB$16</c:f>
              <c:strCache>
                <c:ptCount val="4"/>
                <c:pt idx="0">
                  <c:v>202502 model</c:v>
                </c:pt>
                <c:pt idx="1">
                  <c:v>202503 model</c:v>
                </c:pt>
                <c:pt idx="2">
                  <c:v>202502 + 202503 model</c:v>
                </c:pt>
                <c:pt idx="3">
                  <c:v>DeVCopy</c:v>
                </c:pt>
              </c:strCache>
            </c:strRef>
          </c:cat>
          <c:val>
            <c:numRef>
              <c:f>Hoja2!$AF$13:$AF$16</c:f>
              <c:numCache>
                <c:formatCode>General</c:formatCode>
                <c:ptCount val="4"/>
                <c:pt idx="0">
                  <c:v>152</c:v>
                </c:pt>
                <c:pt idx="1">
                  <c:v>38</c:v>
                </c:pt>
                <c:pt idx="2">
                  <c:v>522</c:v>
                </c:pt>
                <c:pt idx="3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6-4603-9329-0BF10552F0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2826272"/>
        <c:axId val="1212829152"/>
      </c:barChart>
      <c:catAx>
        <c:axId val="12128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2829152"/>
        <c:crosses val="autoZero"/>
        <c:auto val="1"/>
        <c:lblAlgn val="ctr"/>
        <c:lblOffset val="100"/>
        <c:noMultiLvlLbl val="0"/>
      </c:catAx>
      <c:valAx>
        <c:axId val="1212829152"/>
        <c:scaling>
          <c:orientation val="minMax"/>
          <c:max val="1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282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ICR96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Hoja3!$R$6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(Hoja3!$Q$7:$Q$8,Hoja3!$Q$11:$Q$12)</c:f>
              <c:strCache>
                <c:ptCount val="4"/>
                <c:pt idx="0">
                  <c:v>Normal</c:v>
                </c:pt>
                <c:pt idx="1">
                  <c:v>CNV</c:v>
                </c:pt>
                <c:pt idx="2">
                  <c:v>Normal</c:v>
                </c:pt>
                <c:pt idx="3">
                  <c:v>CNV</c:v>
                </c:pt>
              </c:strCache>
            </c:strRef>
          </c:cat>
          <c:val>
            <c:numRef>
              <c:f>(Hoja3!$R$7:$R$8,Hoja3!$R$11:$R$12)</c:f>
              <c:numCache>
                <c:formatCode>General</c:formatCode>
                <c:ptCount val="4"/>
                <c:pt idx="0">
                  <c:v>0.65</c:v>
                </c:pt>
                <c:pt idx="1">
                  <c:v>0.59</c:v>
                </c:pt>
                <c:pt idx="2">
                  <c:v>0.65</c:v>
                </c:pt>
                <c:pt idx="3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1-4062-9F24-D3079C7A26EF}"/>
            </c:ext>
          </c:extLst>
        </c:ser>
        <c:ser>
          <c:idx val="1"/>
          <c:order val="1"/>
          <c:tx>
            <c:strRef>
              <c:f>Hoja3!$S$6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(Hoja3!$Q$7:$Q$8,Hoja3!$Q$11:$Q$12)</c:f>
              <c:strCache>
                <c:ptCount val="4"/>
                <c:pt idx="0">
                  <c:v>Normal</c:v>
                </c:pt>
                <c:pt idx="1">
                  <c:v>CNV</c:v>
                </c:pt>
                <c:pt idx="2">
                  <c:v>Normal</c:v>
                </c:pt>
                <c:pt idx="3">
                  <c:v>CNV</c:v>
                </c:pt>
              </c:strCache>
            </c:strRef>
          </c:cat>
          <c:val>
            <c:numRef>
              <c:f>(Hoja3!$S$7:$S$8,Hoja3!$S$11:$S$12)</c:f>
              <c:numCache>
                <c:formatCode>General</c:formatCode>
                <c:ptCount val="4"/>
                <c:pt idx="0">
                  <c:v>0.5</c:v>
                </c:pt>
                <c:pt idx="1">
                  <c:v>0.73</c:v>
                </c:pt>
                <c:pt idx="2">
                  <c:v>0.59</c:v>
                </c:pt>
                <c:pt idx="3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B1-4062-9F24-D3079C7A26EF}"/>
            </c:ext>
          </c:extLst>
        </c:ser>
        <c:ser>
          <c:idx val="2"/>
          <c:order val="2"/>
          <c:tx>
            <c:strRef>
              <c:f>Hoja3!$T$6</c:f>
              <c:strCache>
                <c:ptCount val="1"/>
                <c:pt idx="0">
                  <c:v>F1-score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(Hoja3!$Q$7:$Q$8,Hoja3!$Q$11:$Q$12)</c:f>
              <c:strCache>
                <c:ptCount val="4"/>
                <c:pt idx="0">
                  <c:v>Normal</c:v>
                </c:pt>
                <c:pt idx="1">
                  <c:v>CNV</c:v>
                </c:pt>
                <c:pt idx="2">
                  <c:v>Normal</c:v>
                </c:pt>
                <c:pt idx="3">
                  <c:v>CNV</c:v>
                </c:pt>
              </c:strCache>
            </c:strRef>
          </c:cat>
          <c:val>
            <c:numRef>
              <c:f>(Hoja3!$T$7:$T$8,Hoja3!$T$11:$T$12)</c:f>
              <c:numCache>
                <c:formatCode>General</c:formatCode>
                <c:ptCount val="4"/>
                <c:pt idx="0">
                  <c:v>0.56000000000000005</c:v>
                </c:pt>
                <c:pt idx="1">
                  <c:v>0.65</c:v>
                </c:pt>
                <c:pt idx="2">
                  <c:v>0.62</c:v>
                </c:pt>
                <c:pt idx="3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B1-4062-9F24-D3079C7A26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5138160"/>
        <c:axId val="615142480"/>
      </c:barChart>
      <c:catAx>
        <c:axId val="61513816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5142480"/>
        <c:crosses val="autoZero"/>
        <c:auto val="1"/>
        <c:lblAlgn val="ctr"/>
        <c:lblOffset val="100"/>
        <c:noMultiLvlLbl val="0"/>
      </c:catAx>
      <c:valAx>
        <c:axId val="6151424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513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NG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Hoja3!$R$6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(Hoja3!$Q$9:$Q$10,Hoja3!$Q$13:$Q$14)</c:f>
              <c:strCache>
                <c:ptCount val="4"/>
                <c:pt idx="0">
                  <c:v>Normal</c:v>
                </c:pt>
                <c:pt idx="1">
                  <c:v>CNV</c:v>
                </c:pt>
                <c:pt idx="2">
                  <c:v>Normal</c:v>
                </c:pt>
                <c:pt idx="3">
                  <c:v>CNV</c:v>
                </c:pt>
              </c:strCache>
            </c:strRef>
          </c:cat>
          <c:val>
            <c:numRef>
              <c:f>(Hoja3!$R$9:$R$10,Hoja3!$R$13:$R$14)</c:f>
              <c:numCache>
                <c:formatCode>General</c:formatCode>
                <c:ptCount val="4"/>
                <c:pt idx="0">
                  <c:v>0.23</c:v>
                </c:pt>
                <c:pt idx="1">
                  <c:v>0.5</c:v>
                </c:pt>
                <c:pt idx="2">
                  <c:v>0.3</c:v>
                </c:pt>
                <c:pt idx="3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3-4EA0-8778-F3D7D5FCC159}"/>
            </c:ext>
          </c:extLst>
        </c:ser>
        <c:ser>
          <c:idx val="1"/>
          <c:order val="1"/>
          <c:tx>
            <c:strRef>
              <c:f>Hoja3!$S$6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(Hoja3!$Q$9:$Q$10,Hoja3!$Q$13:$Q$14)</c:f>
              <c:strCache>
                <c:ptCount val="4"/>
                <c:pt idx="0">
                  <c:v>Normal</c:v>
                </c:pt>
                <c:pt idx="1">
                  <c:v>CNV</c:v>
                </c:pt>
                <c:pt idx="2">
                  <c:v>Normal</c:v>
                </c:pt>
                <c:pt idx="3">
                  <c:v>CNV</c:v>
                </c:pt>
              </c:strCache>
            </c:strRef>
          </c:cat>
          <c:val>
            <c:numRef>
              <c:f>(Hoja3!$S$9:$S$10,Hoja3!$S$13:$S$14)</c:f>
              <c:numCache>
                <c:formatCode>General</c:formatCode>
                <c:ptCount val="4"/>
                <c:pt idx="0">
                  <c:v>0.05</c:v>
                </c:pt>
                <c:pt idx="1">
                  <c:v>0.85</c:v>
                </c:pt>
                <c:pt idx="2">
                  <c:v>0.05</c:v>
                </c:pt>
                <c:pt idx="3">
                  <c:v>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23-4EA0-8778-F3D7D5FCC159}"/>
            </c:ext>
          </c:extLst>
        </c:ser>
        <c:ser>
          <c:idx val="2"/>
          <c:order val="2"/>
          <c:tx>
            <c:strRef>
              <c:f>Hoja3!$T$6</c:f>
              <c:strCache>
                <c:ptCount val="1"/>
                <c:pt idx="0">
                  <c:v>F1-score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(Hoja3!$Q$9:$Q$10,Hoja3!$Q$13:$Q$14)</c:f>
              <c:strCache>
                <c:ptCount val="4"/>
                <c:pt idx="0">
                  <c:v>Normal</c:v>
                </c:pt>
                <c:pt idx="1">
                  <c:v>CNV</c:v>
                </c:pt>
                <c:pt idx="2">
                  <c:v>Normal</c:v>
                </c:pt>
                <c:pt idx="3">
                  <c:v>CNV</c:v>
                </c:pt>
              </c:strCache>
            </c:strRef>
          </c:cat>
          <c:val>
            <c:numRef>
              <c:f>(Hoja3!$T$9:$T$10,Hoja3!$T$13:$T$14)</c:f>
              <c:numCache>
                <c:formatCode>General</c:formatCode>
                <c:ptCount val="4"/>
                <c:pt idx="0">
                  <c:v>0.08</c:v>
                </c:pt>
                <c:pt idx="1">
                  <c:v>0.6</c:v>
                </c:pt>
                <c:pt idx="2">
                  <c:v>0.08</c:v>
                </c:pt>
                <c:pt idx="3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23-4EA0-8778-F3D7D5FCC1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5146320"/>
        <c:axId val="615133360"/>
      </c:barChart>
      <c:catAx>
        <c:axId val="61514632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5133360"/>
        <c:crosses val="autoZero"/>
        <c:auto val="1"/>
        <c:lblAlgn val="ctr"/>
        <c:lblOffset val="100"/>
        <c:noMultiLvlLbl val="0"/>
      </c:catAx>
      <c:valAx>
        <c:axId val="61513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514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ICR96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Hoja3!$S$22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(Hoja3!$R$23:$R$24,Hoja3!$R$27:$R$28)</c:f>
              <c:strCache>
                <c:ptCount val="4"/>
                <c:pt idx="0">
                  <c:v>Normal</c:v>
                </c:pt>
                <c:pt idx="1">
                  <c:v>CNV</c:v>
                </c:pt>
                <c:pt idx="2">
                  <c:v>Normal</c:v>
                </c:pt>
                <c:pt idx="3">
                  <c:v>CNV</c:v>
                </c:pt>
              </c:strCache>
            </c:strRef>
          </c:cat>
          <c:val>
            <c:numRef>
              <c:f>(Hoja3!$S$23:$S$24,Hoja3!$S$27:$S$28)</c:f>
              <c:numCache>
                <c:formatCode>General</c:formatCode>
                <c:ptCount val="4"/>
                <c:pt idx="0">
                  <c:v>0.73</c:v>
                </c:pt>
                <c:pt idx="1">
                  <c:v>0.8</c:v>
                </c:pt>
                <c:pt idx="2">
                  <c:v>0.65</c:v>
                </c:pt>
                <c:pt idx="3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8-47BE-8C20-C2672B2B9C40}"/>
            </c:ext>
          </c:extLst>
        </c:ser>
        <c:ser>
          <c:idx val="1"/>
          <c:order val="1"/>
          <c:tx>
            <c:strRef>
              <c:f>Hoja3!$T$22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(Hoja3!$R$23:$R$24,Hoja3!$R$27:$R$28)</c:f>
              <c:strCache>
                <c:ptCount val="4"/>
                <c:pt idx="0">
                  <c:v>Normal</c:v>
                </c:pt>
                <c:pt idx="1">
                  <c:v>CNV</c:v>
                </c:pt>
                <c:pt idx="2">
                  <c:v>Normal</c:v>
                </c:pt>
                <c:pt idx="3">
                  <c:v>CNV</c:v>
                </c:pt>
              </c:strCache>
            </c:strRef>
          </c:cat>
          <c:val>
            <c:numRef>
              <c:f>(Hoja3!$T$23:$T$24,Hoja3!$T$27:$T$28)</c:f>
              <c:numCache>
                <c:formatCode>General</c:formatCode>
                <c:ptCount val="4"/>
                <c:pt idx="0">
                  <c:v>0.82</c:v>
                </c:pt>
                <c:pt idx="1">
                  <c:v>0.7</c:v>
                </c:pt>
                <c:pt idx="2">
                  <c:v>0.59</c:v>
                </c:pt>
                <c:pt idx="3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C8-47BE-8C20-C2672B2B9C40}"/>
            </c:ext>
          </c:extLst>
        </c:ser>
        <c:ser>
          <c:idx val="2"/>
          <c:order val="2"/>
          <c:tx>
            <c:strRef>
              <c:f>Hoja3!$U$22</c:f>
              <c:strCache>
                <c:ptCount val="1"/>
                <c:pt idx="0">
                  <c:v>F1-score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(Hoja3!$R$23:$R$24,Hoja3!$R$27:$R$28)</c:f>
              <c:strCache>
                <c:ptCount val="4"/>
                <c:pt idx="0">
                  <c:v>Normal</c:v>
                </c:pt>
                <c:pt idx="1">
                  <c:v>CNV</c:v>
                </c:pt>
                <c:pt idx="2">
                  <c:v>Normal</c:v>
                </c:pt>
                <c:pt idx="3">
                  <c:v>CNV</c:v>
                </c:pt>
              </c:strCache>
            </c:strRef>
          </c:cat>
          <c:val>
            <c:numRef>
              <c:f>(Hoja3!$U$23:$U$24,Hoja3!$U$27:$U$28)</c:f>
              <c:numCache>
                <c:formatCode>General</c:formatCode>
                <c:ptCount val="4"/>
                <c:pt idx="0">
                  <c:v>0.77</c:v>
                </c:pt>
                <c:pt idx="1">
                  <c:v>0.75</c:v>
                </c:pt>
                <c:pt idx="2">
                  <c:v>0.62</c:v>
                </c:pt>
                <c:pt idx="3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C8-47BE-8C20-C2672B2B9C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6759328"/>
        <c:axId val="1036759808"/>
      </c:barChart>
      <c:catAx>
        <c:axId val="103675932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36759808"/>
        <c:crosses val="autoZero"/>
        <c:auto val="1"/>
        <c:lblAlgn val="ctr"/>
        <c:lblOffset val="100"/>
        <c:noMultiLvlLbl val="0"/>
      </c:catAx>
      <c:valAx>
        <c:axId val="10367598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3675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NG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Hoja3!$S$22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(Hoja3!$R$25:$R$26,Hoja3!$R$29:$R$30)</c:f>
              <c:strCache>
                <c:ptCount val="4"/>
                <c:pt idx="0">
                  <c:v>Normal</c:v>
                </c:pt>
                <c:pt idx="1">
                  <c:v>CNV</c:v>
                </c:pt>
                <c:pt idx="2">
                  <c:v>Normal</c:v>
                </c:pt>
                <c:pt idx="3">
                  <c:v>CNV</c:v>
                </c:pt>
              </c:strCache>
            </c:strRef>
          </c:cat>
          <c:val>
            <c:numRef>
              <c:f>(Hoja3!$S$25:$S$26,Hoja3!$S$29:$S$30)</c:f>
              <c:numCache>
                <c:formatCode>General</c:formatCode>
                <c:ptCount val="4"/>
                <c:pt idx="0">
                  <c:v>0.8</c:v>
                </c:pt>
                <c:pt idx="1">
                  <c:v>0.78</c:v>
                </c:pt>
                <c:pt idx="2">
                  <c:v>0.3</c:v>
                </c:pt>
                <c:pt idx="3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E-43C6-9426-A15C2991B34C}"/>
            </c:ext>
          </c:extLst>
        </c:ser>
        <c:ser>
          <c:idx val="1"/>
          <c:order val="1"/>
          <c:tx>
            <c:strRef>
              <c:f>Hoja3!$T$22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(Hoja3!$R$25:$R$26,Hoja3!$R$29:$R$30)</c:f>
              <c:strCache>
                <c:ptCount val="4"/>
                <c:pt idx="0">
                  <c:v>Normal</c:v>
                </c:pt>
                <c:pt idx="1">
                  <c:v>CNV</c:v>
                </c:pt>
                <c:pt idx="2">
                  <c:v>Normal</c:v>
                </c:pt>
                <c:pt idx="3">
                  <c:v>CNV</c:v>
                </c:pt>
              </c:strCache>
            </c:strRef>
          </c:cat>
          <c:val>
            <c:numRef>
              <c:f>(Hoja3!$T$25:$T$26,Hoja3!$T$29:$T$30)</c:f>
              <c:numCache>
                <c:formatCode>General</c:formatCode>
                <c:ptCount val="4"/>
                <c:pt idx="0">
                  <c:v>0.78</c:v>
                </c:pt>
                <c:pt idx="1">
                  <c:v>0.81</c:v>
                </c:pt>
                <c:pt idx="2">
                  <c:v>0.05</c:v>
                </c:pt>
                <c:pt idx="3">
                  <c:v>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E-43C6-9426-A15C2991B34C}"/>
            </c:ext>
          </c:extLst>
        </c:ser>
        <c:ser>
          <c:idx val="2"/>
          <c:order val="2"/>
          <c:tx>
            <c:strRef>
              <c:f>Hoja3!$U$22</c:f>
              <c:strCache>
                <c:ptCount val="1"/>
                <c:pt idx="0">
                  <c:v>F1-score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(Hoja3!$R$25:$R$26,Hoja3!$R$29:$R$30)</c:f>
              <c:strCache>
                <c:ptCount val="4"/>
                <c:pt idx="0">
                  <c:v>Normal</c:v>
                </c:pt>
                <c:pt idx="1">
                  <c:v>CNV</c:v>
                </c:pt>
                <c:pt idx="2">
                  <c:v>Normal</c:v>
                </c:pt>
                <c:pt idx="3">
                  <c:v>CNV</c:v>
                </c:pt>
              </c:strCache>
            </c:strRef>
          </c:cat>
          <c:val>
            <c:numRef>
              <c:f>(Hoja3!$U$25:$U$26,Hoja3!$U$29:$U$30)</c:f>
              <c:numCache>
                <c:formatCode>General</c:formatCode>
                <c:ptCount val="4"/>
                <c:pt idx="0">
                  <c:v>0.8</c:v>
                </c:pt>
                <c:pt idx="1">
                  <c:v>0.8</c:v>
                </c:pt>
                <c:pt idx="2">
                  <c:v>0.08</c:v>
                </c:pt>
                <c:pt idx="3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E-43C6-9426-A15C2991B3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4643856"/>
        <c:axId val="1044644336"/>
      </c:barChart>
      <c:catAx>
        <c:axId val="104464385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44644336"/>
        <c:crosses val="autoZero"/>
        <c:auto val="1"/>
        <c:lblAlgn val="ctr"/>
        <c:lblOffset val="100"/>
        <c:noMultiLvlLbl val="0"/>
      </c:catAx>
      <c:valAx>
        <c:axId val="104464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4464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 algn="ctr"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tx1"/>
                </a:solidFill>
              </a:rPr>
              <a:t>(a) Model trained in batch 202502  </a:t>
            </a:r>
            <a:endParaRPr lang="en-US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601772349349426"/>
          <c:y val="6.56700713442488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feature_imp!$B$1</c:f>
              <c:strCache>
                <c:ptCount val="1"/>
                <c:pt idx="0">
                  <c:v>batch1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6E7-45DA-BB52-FEE1EF2A3A9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E7-45DA-BB52-FEE1EF2A3A9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E7-45DA-BB52-FEE1EF2A3A9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6E7-45DA-BB52-FEE1EF2A3A9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6E7-45DA-BB52-FEE1EF2A3A9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6E7-45DA-BB52-FEE1EF2A3A94}"/>
              </c:ext>
            </c:extLst>
          </c:dPt>
          <c:cat>
            <c:strRef>
              <c:f>feature_imp!$A$2:$A$7</c:f>
              <c:strCache>
                <c:ptCount val="6"/>
                <c:pt idx="0">
                  <c:v>repeatmasked</c:v>
                </c:pt>
                <c:pt idx="1">
                  <c:v>length</c:v>
                </c:pt>
                <c:pt idx="2">
                  <c:v>log</c:v>
                </c:pt>
                <c:pt idx="3">
                  <c:v>doc.sd</c:v>
                </c:pt>
                <c:pt idx="4">
                  <c:v>gc.perc</c:v>
                </c:pt>
                <c:pt idx="5">
                  <c:v>doc</c:v>
                </c:pt>
              </c:strCache>
            </c:strRef>
          </c:cat>
          <c:val>
            <c:numRef>
              <c:f>feature_imp!$B$2:$B$7</c:f>
              <c:numCache>
                <c:formatCode>General</c:formatCode>
                <c:ptCount val="6"/>
                <c:pt idx="0">
                  <c:v>7.0000000000000007E-2</c:v>
                </c:pt>
                <c:pt idx="1">
                  <c:v>0.1</c:v>
                </c:pt>
                <c:pt idx="2">
                  <c:v>0.22</c:v>
                </c:pt>
                <c:pt idx="3">
                  <c:v>0.12</c:v>
                </c:pt>
                <c:pt idx="4">
                  <c:v>0.09</c:v>
                </c:pt>
                <c:pt idx="5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0-4509-8F90-292579374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axId val="508788560"/>
        <c:axId val="508779920"/>
      </c:barChart>
      <c:catAx>
        <c:axId val="508788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08779920"/>
        <c:crosses val="autoZero"/>
        <c:auto val="1"/>
        <c:lblAlgn val="ctr"/>
        <c:lblOffset val="100"/>
        <c:noMultiLvlLbl val="0"/>
      </c:catAx>
      <c:valAx>
        <c:axId val="508779920"/>
        <c:scaling>
          <c:orientation val="minMax"/>
          <c:max val="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chemeClr val="tx1"/>
                    </a:solidFill>
                  </a:rPr>
                  <a:t>Feature</a:t>
                </a:r>
                <a:r>
                  <a:rPr lang="es-ES" baseline="0">
                    <a:solidFill>
                      <a:schemeClr val="tx1"/>
                    </a:solidFill>
                  </a:rPr>
                  <a:t> Importance</a:t>
                </a:r>
                <a:endParaRPr lang="es-E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08788560"/>
        <c:crosses val="autoZero"/>
        <c:crossBetween val="between"/>
      </c:valAx>
      <c:spPr>
        <a:noFill/>
        <a:ln w="635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 algn="ctr"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tx1"/>
                </a:solidFill>
              </a:rPr>
              <a:t>(e) KMM in the WES dataset   </a:t>
            </a:r>
            <a:endParaRPr lang="en-US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5060090821782044"/>
          <c:y val="6.56700713442488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feature_imp!$G$1</c:f>
              <c:strCache>
                <c:ptCount val="1"/>
                <c:pt idx="0">
                  <c:v>KMM.NG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7AB-4C27-8FDD-6C3B3996A19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7AB-4C27-8FDD-6C3B3996A19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7AB-4C27-8FDD-6C3B3996A19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7AB-4C27-8FDD-6C3B3996A19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7AB-4C27-8FDD-6C3B3996A19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7AB-4C27-8FDD-6C3B3996A193}"/>
              </c:ext>
            </c:extLst>
          </c:dPt>
          <c:cat>
            <c:strRef>
              <c:f>feature_imp!$A$2:$A$7</c:f>
              <c:strCache>
                <c:ptCount val="6"/>
                <c:pt idx="0">
                  <c:v>repeatmasked</c:v>
                </c:pt>
                <c:pt idx="1">
                  <c:v>length</c:v>
                </c:pt>
                <c:pt idx="2">
                  <c:v>log</c:v>
                </c:pt>
                <c:pt idx="3">
                  <c:v>doc.sd</c:v>
                </c:pt>
                <c:pt idx="4">
                  <c:v>gc.perc</c:v>
                </c:pt>
                <c:pt idx="5">
                  <c:v>doc</c:v>
                </c:pt>
              </c:strCache>
            </c:strRef>
          </c:cat>
          <c:val>
            <c:numRef>
              <c:f>feature_imp!$G$2:$G$7</c:f>
              <c:numCache>
                <c:formatCode>General</c:formatCode>
                <c:ptCount val="6"/>
                <c:pt idx="0">
                  <c:v>5.6000000000000001E-2</c:v>
                </c:pt>
                <c:pt idx="1">
                  <c:v>5.7000000000000002E-2</c:v>
                </c:pt>
                <c:pt idx="2">
                  <c:v>0.156</c:v>
                </c:pt>
                <c:pt idx="3">
                  <c:v>0.157</c:v>
                </c:pt>
                <c:pt idx="4">
                  <c:v>0.1575</c:v>
                </c:pt>
                <c:pt idx="5">
                  <c:v>0.35699999999999998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7AB-4C27-8FDD-6C3B3996A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axId val="508788560"/>
        <c:axId val="508779920"/>
      </c:barChart>
      <c:catAx>
        <c:axId val="508788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08779920"/>
        <c:crosses val="autoZero"/>
        <c:auto val="1"/>
        <c:lblAlgn val="ctr"/>
        <c:lblOffset val="100"/>
        <c:noMultiLvlLbl val="0"/>
      </c:catAx>
      <c:valAx>
        <c:axId val="508779920"/>
        <c:scaling>
          <c:orientation val="minMax"/>
          <c:max val="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chemeClr val="tx1"/>
                    </a:solidFill>
                  </a:rPr>
                  <a:t>Feature</a:t>
                </a:r>
                <a:r>
                  <a:rPr lang="es-ES" baseline="0">
                    <a:solidFill>
                      <a:schemeClr val="tx1"/>
                    </a:solidFill>
                  </a:rPr>
                  <a:t> Importance</a:t>
                </a:r>
                <a:endParaRPr lang="es-E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08788560"/>
        <c:crosses val="autoZero"/>
        <c:crossBetween val="between"/>
      </c:valAx>
      <c:spPr>
        <a:noFill/>
        <a:ln w="6350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376570</xdr:colOff>
      <xdr:row>2</xdr:row>
      <xdr:rowOff>99237</xdr:rowOff>
    </xdr:from>
    <xdr:to>
      <xdr:col>22</xdr:col>
      <xdr:colOff>57593</xdr:colOff>
      <xdr:row>17</xdr:row>
      <xdr:rowOff>42530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3DB82C-013B-8304-B92E-44C082475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323407</xdr:colOff>
      <xdr:row>2</xdr:row>
      <xdr:rowOff>99236</xdr:rowOff>
    </xdr:from>
    <xdr:to>
      <xdr:col>30</xdr:col>
      <xdr:colOff>4430</xdr:colOff>
      <xdr:row>17</xdr:row>
      <xdr:rowOff>42529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C042C0F-4BD3-0412-1350-70FB65991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296826</xdr:colOff>
      <xdr:row>2</xdr:row>
      <xdr:rowOff>90376</xdr:rowOff>
    </xdr:from>
    <xdr:to>
      <xdr:col>37</xdr:col>
      <xdr:colOff>589221</xdr:colOff>
      <xdr:row>17</xdr:row>
      <xdr:rowOff>33669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938117-3345-658D-E796-290814955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201975</xdr:colOff>
      <xdr:row>23</xdr:row>
      <xdr:rowOff>65183</xdr:rowOff>
    </xdr:from>
    <xdr:to>
      <xdr:col>16</xdr:col>
      <xdr:colOff>36722</xdr:colOff>
      <xdr:row>38</xdr:row>
      <xdr:rowOff>44985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F9A95F8-297B-9432-80D3-CDAFBD29C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214648</xdr:colOff>
      <xdr:row>20</xdr:row>
      <xdr:rowOff>152401</xdr:rowOff>
    </xdr:from>
    <xdr:to>
      <xdr:col>12</xdr:col>
      <xdr:colOff>21465</xdr:colOff>
      <xdr:row>35</xdr:row>
      <xdr:rowOff>158840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39A8A9-DF01-E9BD-97FB-907B86389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676275</xdr:colOff>
      <xdr:row>16</xdr:row>
      <xdr:rowOff>128587</xdr:rowOff>
    </xdr:from>
    <xdr:to>
      <xdr:col>26</xdr:col>
      <xdr:colOff>504825</xdr:colOff>
      <xdr:row>29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11DCF5A-1BB2-C505-08AE-440A6FC6F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219075</xdr:colOff>
      <xdr:row>17</xdr:row>
      <xdr:rowOff>4763</xdr:rowOff>
    </xdr:from>
    <xdr:to>
      <xdr:col>33</xdr:col>
      <xdr:colOff>47625</xdr:colOff>
      <xdr:row>31</xdr:row>
      <xdr:rowOff>128588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1D7C9B5-271A-9534-4B07-AAF01E677C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494805</xdr:colOff>
      <xdr:row>1</xdr:row>
      <xdr:rowOff>55756</xdr:rowOff>
    </xdr:from>
    <xdr:to>
      <xdr:col>26</xdr:col>
      <xdr:colOff>344542</xdr:colOff>
      <xdr:row>16</xdr:row>
      <xdr:rowOff>46463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0831525-823D-AD3F-AA7C-79F1F832E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389752</xdr:colOff>
      <xdr:row>1</xdr:row>
      <xdr:rowOff>63671</xdr:rowOff>
    </xdr:from>
    <xdr:to>
      <xdr:col>33</xdr:col>
      <xdr:colOff>237353</xdr:colOff>
      <xdr:row>15</xdr:row>
      <xdr:rowOff>134723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A4241C5-15E5-9AAA-1D7B-7FF7B4C3C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144162</xdr:colOff>
      <xdr:row>18</xdr:row>
      <xdr:rowOff>70022</xdr:rowOff>
    </xdr:from>
    <xdr:to>
      <xdr:col>26</xdr:col>
      <xdr:colOff>751703</xdr:colOff>
      <xdr:row>35</xdr:row>
      <xdr:rowOff>54990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20D4002-1D57-87CA-B08D-314AC7974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463379</xdr:colOff>
      <xdr:row>18</xdr:row>
      <xdr:rowOff>3183</xdr:rowOff>
    </xdr:from>
    <xdr:to>
      <xdr:col>33</xdr:col>
      <xdr:colOff>278028</xdr:colOff>
      <xdr:row>34</xdr:row>
      <xdr:rowOff>166254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253B7A7-D11F-2A6F-0F92-A28CC5C95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0.14604</cdr:x>
      <cdr:y>0.79566</cdr:y>
    </cdr:from>
    <cdr:to>
      <cdr:x>0.46362</cdr:x>
      <cdr:y>0.85635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6CD2D9A7-5913-4AAE-99FA-92349E3CD752}"/>
            </a:ext>
          </a:extLst>
        </cdr:cNvPr>
        <cdr:cNvSpPr txBox="1"/>
      </cdr:nvSpPr>
      <cdr:spPr>
        <a:xfrm xmlns:a="http://schemas.openxmlformats.org/drawingml/2006/main">
          <a:off x="674138" y="2280308"/>
          <a:ext cx="1466021" cy="1739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s-ES" sz="1100" kern="1200"/>
            <a:t>Instance Weighting</a:t>
          </a:r>
        </a:p>
      </cdr:txBody>
    </cdr:sp>
  </cdr:relSizeAnchor>
  <cdr:relSizeAnchor xmlns:cdr="http://schemas.openxmlformats.org/drawingml/2006/chartDrawing">
    <cdr:from>
      <cdr:x>0.59163</cdr:x>
      <cdr:y>0.78458</cdr:y>
    </cdr:from>
    <cdr:to>
      <cdr:x>0.90922</cdr:x>
      <cdr:y>0.84527</cdr:y>
    </cdr:to>
    <cdr:sp macro="" textlink="">
      <cdr:nvSpPr>
        <cdr:cNvPr id="3" name="CuadroTexto 1">
          <a:extLst xmlns:a="http://schemas.openxmlformats.org/drawingml/2006/main">
            <a:ext uri="{FF2B5EF4-FFF2-40B4-BE49-F238E27FC236}">
              <a16:creationId xmlns:a16="http://schemas.microsoft.com/office/drawing/2014/main" id="{C1AB5471-F16A-95C3-3039-10E5EA138D50}"/>
            </a:ext>
          </a:extLst>
        </cdr:cNvPr>
        <cdr:cNvSpPr txBox="1"/>
      </cdr:nvSpPr>
      <cdr:spPr>
        <a:xfrm xmlns:a="http://schemas.openxmlformats.org/drawingml/2006/main">
          <a:off x="2733629" y="2096132"/>
          <a:ext cx="1467430" cy="162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ES" sz="1100" kern="1200"/>
            <a:t>Reconstructed</a:t>
          </a:r>
          <a:r>
            <a:rPr lang="es-ES" sz="1100" kern="1200" baseline="0"/>
            <a:t> model</a:t>
          </a:r>
          <a:endParaRPr lang="es-ES" sz="1100" kern="1200"/>
        </a:p>
      </cdr:txBody>
    </cdr:sp>
  </cdr:relSizeAnchor>
  <cdr:relSizeAnchor xmlns:cdr="http://schemas.openxmlformats.org/drawingml/2006/chartDrawing">
    <cdr:from>
      <cdr:x>0.51815</cdr:x>
      <cdr:y>0.16227</cdr:y>
    </cdr:from>
    <cdr:to>
      <cdr:x>0.51963</cdr:x>
      <cdr:y>0.84796</cdr:y>
    </cdr:to>
    <cdr:cxnSp macro="">
      <cdr:nvCxnSpPr>
        <cdr:cNvPr id="4" name="Conector recto 3">
          <a:extLst xmlns:a="http://schemas.openxmlformats.org/drawingml/2006/main">
            <a:ext uri="{FF2B5EF4-FFF2-40B4-BE49-F238E27FC236}">
              <a16:creationId xmlns:a16="http://schemas.microsoft.com/office/drawing/2014/main" id="{F07D5461-2C73-4998-095B-272DABB2A52E}"/>
            </a:ext>
          </a:extLst>
        </cdr:cNvPr>
        <cdr:cNvCxnSpPr/>
      </cdr:nvCxnSpPr>
      <cdr:spPr>
        <a:xfrm xmlns:a="http://schemas.openxmlformats.org/drawingml/2006/main">
          <a:off x="2384390" y="465830"/>
          <a:ext cx="6805" cy="1968414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0.51672</cdr:x>
      <cdr:y>0.16608</cdr:y>
    </cdr:from>
    <cdr:to>
      <cdr:x>0.51792</cdr:x>
      <cdr:y>0.85178</cdr:y>
    </cdr:to>
    <cdr:cxnSp macro="">
      <cdr:nvCxnSpPr>
        <cdr:cNvPr id="2" name="Conector recto 1">
          <a:extLst xmlns:a="http://schemas.openxmlformats.org/drawingml/2006/main">
            <a:ext uri="{FF2B5EF4-FFF2-40B4-BE49-F238E27FC236}">
              <a16:creationId xmlns:a16="http://schemas.microsoft.com/office/drawing/2014/main" id="{E16D80F1-F26C-D5B7-97BB-012A2034C87A}"/>
            </a:ext>
          </a:extLst>
        </cdr:cNvPr>
        <cdr:cNvCxnSpPr/>
      </cdr:nvCxnSpPr>
      <cdr:spPr>
        <a:xfrm xmlns:a="http://schemas.openxmlformats.org/drawingml/2006/main">
          <a:off x="2376709" y="460211"/>
          <a:ext cx="5539" cy="190011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0.58858</cdr:x>
      <cdr:y>0.80679</cdr:y>
    </cdr:from>
    <cdr:to>
      <cdr:x>0.90631</cdr:x>
      <cdr:y>0.86898</cdr:y>
    </cdr:to>
    <cdr:sp macro="" textlink="">
      <cdr:nvSpPr>
        <cdr:cNvPr id="3" name="CuadroTexto 1">
          <a:extLst xmlns:a="http://schemas.openxmlformats.org/drawingml/2006/main">
            <a:ext uri="{FF2B5EF4-FFF2-40B4-BE49-F238E27FC236}">
              <a16:creationId xmlns:a16="http://schemas.microsoft.com/office/drawing/2014/main" id="{46AECA53-A035-DD42-5EF2-2935399736CC}"/>
            </a:ext>
          </a:extLst>
        </cdr:cNvPr>
        <cdr:cNvSpPr txBox="1"/>
      </cdr:nvSpPr>
      <cdr:spPr>
        <a:xfrm xmlns:a="http://schemas.openxmlformats.org/drawingml/2006/main">
          <a:off x="2711555" y="2249357"/>
          <a:ext cx="1463808" cy="1733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ES" sz="1100">
              <a:effectLst/>
              <a:latin typeface="+mn-lt"/>
              <a:ea typeface="+mn-ea"/>
              <a:cs typeface="+mn-cs"/>
            </a:rPr>
            <a:t>Reconstructed</a:t>
          </a:r>
          <a:r>
            <a:rPr lang="es-ES" sz="1100" baseline="0">
              <a:effectLst/>
              <a:latin typeface="+mn-lt"/>
              <a:ea typeface="+mn-ea"/>
              <a:cs typeface="+mn-cs"/>
            </a:rPr>
            <a:t> model</a:t>
          </a:r>
          <a:endParaRPr lang="es-ES">
            <a:effectLst/>
          </a:endParaRPr>
        </a:p>
      </cdr:txBody>
    </cdr:sp>
  </cdr:relSizeAnchor>
  <cdr:relSizeAnchor xmlns:cdr="http://schemas.openxmlformats.org/drawingml/2006/chartDrawing">
    <cdr:from>
      <cdr:x>0.13169</cdr:x>
      <cdr:y>0.79559</cdr:y>
    </cdr:from>
    <cdr:to>
      <cdr:x>0.44942</cdr:x>
      <cdr:y>0.85778</cdr:y>
    </cdr:to>
    <cdr:sp macro="" textlink="">
      <cdr:nvSpPr>
        <cdr:cNvPr id="4" name="CuadroTexto 1">
          <a:extLst xmlns:a="http://schemas.openxmlformats.org/drawingml/2006/main">
            <a:ext uri="{FF2B5EF4-FFF2-40B4-BE49-F238E27FC236}">
              <a16:creationId xmlns:a16="http://schemas.microsoft.com/office/drawing/2014/main" id="{F15B826D-2E34-0EC4-60ED-6FFB2AC2F305}"/>
            </a:ext>
          </a:extLst>
        </cdr:cNvPr>
        <cdr:cNvSpPr txBox="1"/>
      </cdr:nvSpPr>
      <cdr:spPr>
        <a:xfrm xmlns:a="http://schemas.openxmlformats.org/drawingml/2006/main">
          <a:off x="606686" y="2218127"/>
          <a:ext cx="1463762" cy="1733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ES" sz="1100" kern="1200"/>
            <a:t>Instance Weighting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0.51884</cdr:x>
      <cdr:y>0.15157</cdr:y>
    </cdr:from>
    <cdr:to>
      <cdr:x>0.51887</cdr:x>
      <cdr:y>0.855</cdr:y>
    </cdr:to>
    <cdr:cxnSp macro="">
      <cdr:nvCxnSpPr>
        <cdr:cNvPr id="2" name="Conector recto 1">
          <a:extLst xmlns:a="http://schemas.openxmlformats.org/drawingml/2006/main">
            <a:ext uri="{FF2B5EF4-FFF2-40B4-BE49-F238E27FC236}">
              <a16:creationId xmlns:a16="http://schemas.microsoft.com/office/drawing/2014/main" id="{18E4B0F9-2054-994C-A5BA-27BCCE391240}"/>
            </a:ext>
          </a:extLst>
        </cdr:cNvPr>
        <cdr:cNvCxnSpPr/>
      </cdr:nvCxnSpPr>
      <cdr:spPr>
        <a:xfrm xmlns:a="http://schemas.openxmlformats.org/drawingml/2006/main" flipH="1">
          <a:off x="2369838" y="465171"/>
          <a:ext cx="126" cy="215880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0.58465</cdr:x>
      <cdr:y>0.80409</cdr:y>
    </cdr:from>
    <cdr:to>
      <cdr:x>0.90472</cdr:x>
      <cdr:y>0.86101</cdr:y>
    </cdr:to>
    <cdr:sp macro="" textlink="">
      <cdr:nvSpPr>
        <cdr:cNvPr id="4" name="CuadroTexto 1">
          <a:extLst xmlns:a="http://schemas.openxmlformats.org/drawingml/2006/main">
            <a:ext uri="{FF2B5EF4-FFF2-40B4-BE49-F238E27FC236}">
              <a16:creationId xmlns:a16="http://schemas.microsoft.com/office/drawing/2014/main" id="{6AA103B1-B23B-F9A0-943B-546B06785938}"/>
            </a:ext>
          </a:extLst>
        </cdr:cNvPr>
        <cdr:cNvSpPr txBox="1"/>
      </cdr:nvSpPr>
      <cdr:spPr>
        <a:xfrm xmlns:a="http://schemas.openxmlformats.org/drawingml/2006/main">
          <a:off x="2674593" y="2470347"/>
          <a:ext cx="1464176" cy="174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ES" sz="1100">
              <a:effectLst/>
              <a:latin typeface="+mn-lt"/>
              <a:ea typeface="+mn-ea"/>
              <a:cs typeface="+mn-cs"/>
            </a:rPr>
            <a:t>Reconstructed</a:t>
          </a:r>
          <a:r>
            <a:rPr lang="es-ES" sz="1100" baseline="0">
              <a:effectLst/>
              <a:latin typeface="+mn-lt"/>
              <a:ea typeface="+mn-ea"/>
              <a:cs typeface="+mn-cs"/>
            </a:rPr>
            <a:t> model</a:t>
          </a:r>
          <a:endParaRPr lang="es-ES">
            <a:effectLst/>
          </a:endParaRPr>
        </a:p>
      </cdr:txBody>
    </cdr:sp>
  </cdr:relSizeAnchor>
  <cdr:relSizeAnchor xmlns:cdr="http://schemas.openxmlformats.org/drawingml/2006/chartDrawing">
    <cdr:from>
      <cdr:x>0.13066</cdr:x>
      <cdr:y>0.81226</cdr:y>
    </cdr:from>
    <cdr:to>
      <cdr:x>0.45072</cdr:x>
      <cdr:y>0.86918</cdr:y>
    </cdr:to>
    <cdr:sp macro="" textlink="">
      <cdr:nvSpPr>
        <cdr:cNvPr id="6" name="CuadroTexto 1">
          <a:extLst xmlns:a="http://schemas.openxmlformats.org/drawingml/2006/main">
            <a:ext uri="{FF2B5EF4-FFF2-40B4-BE49-F238E27FC236}">
              <a16:creationId xmlns:a16="http://schemas.microsoft.com/office/drawing/2014/main" id="{F5AB56C8-CADD-07B8-5B71-BBBAC989DAEE}"/>
            </a:ext>
          </a:extLst>
        </cdr:cNvPr>
        <cdr:cNvSpPr txBox="1"/>
      </cdr:nvSpPr>
      <cdr:spPr>
        <a:xfrm xmlns:a="http://schemas.openxmlformats.org/drawingml/2006/main">
          <a:off x="596800" y="2492800"/>
          <a:ext cx="1461899" cy="1746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ES" sz="1100" kern="1200"/>
            <a:t>Fine-tunnig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0.52543</cdr:x>
      <cdr:y>0.15632</cdr:y>
    </cdr:from>
    <cdr:to>
      <cdr:x>0.52545</cdr:x>
      <cdr:y>0.87602</cdr:y>
    </cdr:to>
    <cdr:cxnSp macro="">
      <cdr:nvCxnSpPr>
        <cdr:cNvPr id="2" name="Conector recto 1">
          <a:extLst xmlns:a="http://schemas.openxmlformats.org/drawingml/2006/main">
            <a:ext uri="{FF2B5EF4-FFF2-40B4-BE49-F238E27FC236}">
              <a16:creationId xmlns:a16="http://schemas.microsoft.com/office/drawing/2014/main" id="{F4F5AEF2-47D8-9259-015F-E953266AACB9}"/>
            </a:ext>
          </a:extLst>
        </cdr:cNvPr>
        <cdr:cNvCxnSpPr/>
      </cdr:nvCxnSpPr>
      <cdr:spPr>
        <a:xfrm xmlns:a="http://schemas.openxmlformats.org/drawingml/2006/main" flipH="1">
          <a:off x="2392218" y="480291"/>
          <a:ext cx="125" cy="221129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0.60455</cdr:x>
      <cdr:y>0.81466</cdr:y>
    </cdr:from>
    <cdr:to>
      <cdr:x>0.92483</cdr:x>
      <cdr:y>0.87162</cdr:y>
    </cdr:to>
    <cdr:sp macro="" textlink="">
      <cdr:nvSpPr>
        <cdr:cNvPr id="3" name="CuadroTexto 1">
          <a:extLst xmlns:a="http://schemas.openxmlformats.org/drawingml/2006/main">
            <a:ext uri="{FF2B5EF4-FFF2-40B4-BE49-F238E27FC236}">
              <a16:creationId xmlns:a16="http://schemas.microsoft.com/office/drawing/2014/main" id="{11C83506-49E8-A82C-DE21-537226989349}"/>
            </a:ext>
          </a:extLst>
        </cdr:cNvPr>
        <cdr:cNvSpPr txBox="1"/>
      </cdr:nvSpPr>
      <cdr:spPr>
        <a:xfrm xmlns:a="http://schemas.openxmlformats.org/drawingml/2006/main">
          <a:off x="2752436" y="2503055"/>
          <a:ext cx="1458232" cy="1750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ES" sz="1100">
              <a:effectLst/>
              <a:latin typeface="+mn-lt"/>
              <a:ea typeface="+mn-ea"/>
              <a:cs typeface="+mn-cs"/>
            </a:rPr>
            <a:t>Reconstructed</a:t>
          </a:r>
          <a:r>
            <a:rPr lang="es-ES" sz="1100" baseline="0">
              <a:effectLst/>
              <a:latin typeface="+mn-lt"/>
              <a:ea typeface="+mn-ea"/>
              <a:cs typeface="+mn-cs"/>
            </a:rPr>
            <a:t> model</a:t>
          </a:r>
          <a:endParaRPr lang="es-ES">
            <a:effectLst/>
          </a:endParaRPr>
        </a:p>
      </cdr:txBody>
    </cdr:sp>
  </cdr:relSizeAnchor>
  <cdr:relSizeAnchor xmlns:cdr="http://schemas.openxmlformats.org/drawingml/2006/chartDrawing">
    <cdr:from>
      <cdr:x>0.13896</cdr:x>
      <cdr:y>0.8124</cdr:y>
    </cdr:from>
    <cdr:to>
      <cdr:x>0.45925</cdr:x>
      <cdr:y>0.86936</cdr:y>
    </cdr:to>
    <cdr:sp macro="" textlink="">
      <cdr:nvSpPr>
        <cdr:cNvPr id="4" name="CuadroTexto 1">
          <a:extLst xmlns:a="http://schemas.openxmlformats.org/drawingml/2006/main">
            <a:ext uri="{FF2B5EF4-FFF2-40B4-BE49-F238E27FC236}">
              <a16:creationId xmlns:a16="http://schemas.microsoft.com/office/drawing/2014/main" id="{11C83506-49E8-A82C-DE21-537226989349}"/>
            </a:ext>
          </a:extLst>
        </cdr:cNvPr>
        <cdr:cNvSpPr txBox="1"/>
      </cdr:nvSpPr>
      <cdr:spPr>
        <a:xfrm xmlns:a="http://schemas.openxmlformats.org/drawingml/2006/main">
          <a:off x="632691" y="2496127"/>
          <a:ext cx="1458232" cy="1750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ES" sz="1100" kern="1200"/>
            <a:t>Fine-tunning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229293</xdr:colOff>
      <xdr:row>7</xdr:row>
      <xdr:rowOff>60803</xdr:rowOff>
    </xdr:from>
    <xdr:to>
      <xdr:col>5</xdr:col>
      <xdr:colOff>556953</xdr:colOff>
      <xdr:row>20</xdr:row>
      <xdr:rowOff>3905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62C4E79-51FF-5823-982D-C6ACA9CF5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761999</xdr:colOff>
      <xdr:row>7</xdr:row>
      <xdr:rowOff>100484</xdr:rowOff>
    </xdr:from>
    <xdr:to>
      <xdr:col>10</xdr:col>
      <xdr:colOff>193681</xdr:colOff>
      <xdr:row>20</xdr:row>
      <xdr:rowOff>43586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4D0148E-249E-4329-85CA-1E74C261B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A4CB8E9-247F-42A3-A296-D4D716244184}" autoFormatId="16" applyNumberFormats="0" applyBorderFormats="0" applyFontFormats="0" applyPatternFormats="0" applyAlignmentFormats="0" applyWidthHeightFormats="0">
  <queryTableRefresh nextId="11" unboundColumnsRight="3">
    <queryTableFields count="10">
      <queryTableField id="1" name="Feature.importance" tableColumnId="1"/>
      <queryTableField id="2" name="batch1" tableColumnId="2"/>
      <queryTableField id="3" name="batch2" tableColumnId="3"/>
      <queryTableField id="4" name="merged" tableColumnId="4"/>
      <queryTableField id="5" name="DA" tableColumnId="5"/>
      <queryTableField id="6" name="KMM.ICR96" tableColumnId="6"/>
      <queryTableField id="7" name="KMM.NG" tableColumnId="7"/>
      <queryTableField id="8" dataBound="0" tableColumnId="8"/>
      <queryTableField id="9" dataBound="0" tableColumnId="9"/>
      <queryTableField id="10" dataBound="0" tableColumnId="10"/>
    </queryTableFields>
    <queryTableDeletedFields count="1">
      <deletedField name="batch1.real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C4A5C6-106C-4EC1-A311-974D092E341C}" name="Tabla2" displayName="Tabla2" ref="B5:L13" totalsRowShown="0" headerRowDxfId="36" dataDxfId="34" headerRowBorderDxfId="35" tableBorderDxfId="33">
  <autoFilter ref="B5:L13" xr:uid="{9DC4A5C6-106C-4EC1-A311-974D092E341C}"/>
  <tableColumns count="11">
    <tableColumn id="1" xr3:uid="{1AC6D448-5BC7-41A3-9606-F2628807926F}" name="Domain Adaptation" dataDxfId="32"/>
    <tableColumn id="2" xr3:uid="{7B19B7BC-B26E-4A11-AC26-A09FD0AC4EDB}" name="Dataset" dataDxfId="31"/>
    <tableColumn id="3" xr3:uid="{E08C80BF-11B4-4290-A4B5-E33A1E19C08B}" name="Accuracy" dataDxfId="30"/>
    <tableColumn id="4" xr3:uid="{124AECD2-4EC5-4A0B-A92B-E965C0C7063C}" name="TP" dataDxfId="29"/>
    <tableColumn id="5" xr3:uid="{7B77C2F5-1018-4B1E-988D-AF3F97F0D634}" name="TN" dataDxfId="28"/>
    <tableColumn id="6" xr3:uid="{F50C5A82-405E-4B23-9B65-3F347D0DEEB1}" name="FP" dataDxfId="27"/>
    <tableColumn id="7" xr3:uid="{86C3AFF2-DB01-42B4-8531-A85451740B66}" name="FN" dataDxfId="26"/>
    <tableColumn id="8" xr3:uid="{5E10BE60-7F13-4161-9517-CED134AA3F07}" name="Class" dataDxfId="25"/>
    <tableColumn id="9" xr3:uid="{AF180BAE-065C-4A3B-BEE9-6FE5C1CD721A}" name="Precision" dataDxfId="24"/>
    <tableColumn id="10" xr3:uid="{52EF49DB-3607-428D-88D9-4AF0646E5AE0}" name="Recall" dataDxfId="23"/>
    <tableColumn id="11" xr3:uid="{982E20C0-11EF-4A56-97FC-1974A784D282}" name="F1-score" dataDxfId="22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10712B-3A61-4A60-A277-F1CBCEB758BB}" name="feature_imp" displayName="feature_imp" ref="A1:J7" tableType="queryTable" totalsRowShown="0">
  <autoFilter ref="A1:J7" xr:uid="{B110712B-3A61-4A60-A277-F1CBCEB758BB}"/>
  <sortState xmlns:xlrd2="http://schemas.microsoft.com/office/spreadsheetml/2017/richdata2" ref="A2:J7">
    <sortCondition ref="G1:G7"/>
  </sortState>
  <tableColumns count="10">
    <tableColumn id="1" xr3:uid="{9E3F6892-92DA-4CEE-9412-29624F996215}" uniqueName="1" name="Feature.importance" queryTableFieldId="1" dataDxfId="21"/>
    <tableColumn id="2" xr3:uid="{E868B0E0-5618-46D7-A812-DCB02DD7E27B}" uniqueName="2" name="batch1" queryTableFieldId="2"/>
    <tableColumn id="3" xr3:uid="{2288966C-36B2-4DB7-9C70-743408399F24}" uniqueName="3" name="batch2" queryTableFieldId="3"/>
    <tableColumn id="4" xr3:uid="{3E533745-5773-4D6E-A4AA-6EDAC78B1813}" uniqueName="4" name="merged" queryTableFieldId="4"/>
    <tableColumn id="5" xr3:uid="{C4501167-BF86-4AC1-8349-A00608E6DE6C}" uniqueName="5" name="DA" queryTableFieldId="5"/>
    <tableColumn id="6" xr3:uid="{9AADA9F4-D0C3-4752-A61A-3A81BB927B92}" uniqueName="6" name="KMM.ICR96" queryTableFieldId="6"/>
    <tableColumn id="7" xr3:uid="{46A66990-B3DE-4E08-A476-CCFE77CB8662}" uniqueName="7" name="KMM.NG" queryTableFieldId="7"/>
    <tableColumn id="8" xr3:uid="{41A0D057-ED54-4B73-8511-0B4F51B5765F}" uniqueName="8" name="Fine-tuning ICR96" queryTableFieldId="8"/>
    <tableColumn id="9" xr3:uid="{BC2F9D5D-4254-4AFF-AFC9-D8C7EB727CF7}" uniqueName="9" name="Fine-tuning NG" queryTableFieldId="9"/>
    <tableColumn id="10" xr3:uid="{FEFC6BF0-8E1B-4B31-8425-93CA11D920A7}" uniqueName="10" name="batch1.real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J43"/>
  <sheetViews>
    <sheetView zoomScale="65" workbookViewId="0">
      <selection activeCell="Z30" sqref="Z30"/>
    </sheetView>
  </sheetViews>
  <sheetFormatPr baseColWidth="10" defaultColWidth="8.88671875" defaultRowHeight="14.4" x14ac:dyDescent="0.3"/>
  <cols>
    <col min="2" max="2" width="14" bestFit="1" customWidth="1"/>
    <col min="5" max="5" width="12.21875" bestFit="1" customWidth="1"/>
  </cols>
  <sheetData>
    <row r="4" spans="2:18" x14ac:dyDescent="0.3">
      <c r="B4" s="9" t="s">
        <v>0</v>
      </c>
      <c r="C4" s="9" t="s">
        <v>17</v>
      </c>
      <c r="D4" s="9" t="s">
        <v>1</v>
      </c>
      <c r="E4" s="9" t="s">
        <v>9</v>
      </c>
      <c r="F4" s="9" t="s">
        <v>10</v>
      </c>
      <c r="G4" s="9" t="s">
        <v>11</v>
      </c>
      <c r="H4" s="10" t="s">
        <v>12</v>
      </c>
      <c r="I4" s="9" t="s">
        <v>2</v>
      </c>
      <c r="J4" s="9" t="s">
        <v>3</v>
      </c>
      <c r="K4" s="9" t="s">
        <v>4</v>
      </c>
      <c r="L4" s="9" t="s">
        <v>5</v>
      </c>
    </row>
    <row r="5" spans="2:18" x14ac:dyDescent="0.3">
      <c r="B5" s="88" t="s">
        <v>6</v>
      </c>
      <c r="C5" s="82" t="s">
        <v>14</v>
      </c>
      <c r="D5" s="81">
        <v>0.55000000000000004</v>
      </c>
      <c r="E5" s="81">
        <v>167</v>
      </c>
      <c r="F5" s="81">
        <v>158</v>
      </c>
      <c r="G5" s="81">
        <v>138</v>
      </c>
      <c r="H5" s="81">
        <v>129</v>
      </c>
      <c r="I5" s="11" t="s">
        <v>7</v>
      </c>
      <c r="J5" s="12">
        <v>0.53</v>
      </c>
      <c r="K5" s="12">
        <v>0.55000000000000004</v>
      </c>
      <c r="L5" s="13">
        <v>0.54</v>
      </c>
    </row>
    <row r="6" spans="2:18" x14ac:dyDescent="0.3">
      <c r="B6" s="89"/>
      <c r="C6" s="83"/>
      <c r="D6" s="74"/>
      <c r="E6" s="74"/>
      <c r="F6" s="74"/>
      <c r="G6" s="74"/>
      <c r="H6" s="74"/>
      <c r="I6" s="14" t="s">
        <v>8</v>
      </c>
      <c r="J6" s="15">
        <v>0.56000000000000005</v>
      </c>
      <c r="K6" s="15">
        <v>0.55000000000000004</v>
      </c>
      <c r="L6" s="16">
        <v>0.56000000000000005</v>
      </c>
    </row>
    <row r="7" spans="2:18" x14ac:dyDescent="0.3">
      <c r="B7" s="89"/>
      <c r="C7" s="82" t="s">
        <v>15</v>
      </c>
      <c r="D7" s="81">
        <v>0.56000000000000005</v>
      </c>
      <c r="E7" s="81">
        <v>880</v>
      </c>
      <c r="F7" s="81">
        <v>817</v>
      </c>
      <c r="G7" s="81">
        <v>688</v>
      </c>
      <c r="H7" s="81">
        <v>625</v>
      </c>
      <c r="I7" s="11" t="s">
        <v>7</v>
      </c>
      <c r="J7" s="12">
        <v>0.54</v>
      </c>
      <c r="K7" s="12">
        <v>0.56999999999999995</v>
      </c>
      <c r="L7" s="13">
        <v>0.55000000000000004</v>
      </c>
    </row>
    <row r="8" spans="2:18" x14ac:dyDescent="0.3">
      <c r="B8" s="89"/>
      <c r="C8" s="87"/>
      <c r="D8" s="76"/>
      <c r="E8" s="76"/>
      <c r="F8" s="76"/>
      <c r="G8" s="76"/>
      <c r="H8" s="76"/>
      <c r="I8" s="8" t="s">
        <v>8</v>
      </c>
      <c r="J8" s="17">
        <v>0.57999999999999996</v>
      </c>
      <c r="K8" s="17">
        <v>0.56000000000000005</v>
      </c>
      <c r="L8" s="18">
        <v>0.56999999999999995</v>
      </c>
    </row>
    <row r="9" spans="2:18" x14ac:dyDescent="0.3">
      <c r="B9" s="89"/>
      <c r="C9" s="83" t="s">
        <v>16</v>
      </c>
      <c r="D9" s="74">
        <v>0.4</v>
      </c>
      <c r="E9" s="74">
        <v>187</v>
      </c>
      <c r="F9" s="74">
        <v>42</v>
      </c>
      <c r="G9" s="74">
        <v>243</v>
      </c>
      <c r="H9" s="74">
        <v>98</v>
      </c>
      <c r="I9" s="14" t="s">
        <v>7</v>
      </c>
      <c r="J9" s="15">
        <v>0.15</v>
      </c>
      <c r="K9" s="15">
        <v>0.3</v>
      </c>
      <c r="L9" s="16">
        <v>0.2</v>
      </c>
    </row>
    <row r="10" spans="2:18" ht="15" thickBot="1" x14ac:dyDescent="0.35">
      <c r="B10" s="90"/>
      <c r="C10" s="85"/>
      <c r="D10" s="86"/>
      <c r="E10" s="86"/>
      <c r="F10" s="86"/>
      <c r="G10" s="86"/>
      <c r="H10" s="86"/>
      <c r="I10" s="19" t="s">
        <v>8</v>
      </c>
      <c r="J10" s="20">
        <v>0.66</v>
      </c>
      <c r="K10" s="20">
        <v>0.43</v>
      </c>
      <c r="L10" s="21">
        <v>0.52</v>
      </c>
    </row>
    <row r="11" spans="2:18" x14ac:dyDescent="0.3">
      <c r="B11" s="91" t="s">
        <v>13</v>
      </c>
      <c r="C11" s="93" t="s">
        <v>14</v>
      </c>
      <c r="D11" s="84">
        <v>0.45</v>
      </c>
      <c r="E11" s="84">
        <v>1139</v>
      </c>
      <c r="F11" s="84">
        <v>76</v>
      </c>
      <c r="G11" s="84">
        <v>1282</v>
      </c>
      <c r="H11" s="84">
        <v>219</v>
      </c>
      <c r="I11" s="22" t="s">
        <v>7</v>
      </c>
      <c r="J11" s="23">
        <v>0.06</v>
      </c>
      <c r="K11" s="23">
        <v>0.26</v>
      </c>
      <c r="L11" s="24">
        <v>0.09</v>
      </c>
      <c r="R11" s="5"/>
    </row>
    <row r="12" spans="2:18" x14ac:dyDescent="0.3">
      <c r="B12" s="89"/>
      <c r="C12" s="87"/>
      <c r="D12" s="76"/>
      <c r="E12" s="76"/>
      <c r="F12" s="76"/>
      <c r="G12" s="76"/>
      <c r="H12" s="76"/>
      <c r="I12" s="8" t="s">
        <v>8</v>
      </c>
      <c r="J12" s="17">
        <v>0.84</v>
      </c>
      <c r="K12" s="17">
        <v>0.47</v>
      </c>
      <c r="L12" s="18">
        <v>0.6</v>
      </c>
    </row>
    <row r="13" spans="2:18" x14ac:dyDescent="0.3">
      <c r="B13" s="89"/>
      <c r="C13" s="82" t="s">
        <v>15</v>
      </c>
      <c r="D13" s="81">
        <v>0.51</v>
      </c>
      <c r="E13" s="81">
        <v>46823</v>
      </c>
      <c r="F13" s="81">
        <v>5526</v>
      </c>
      <c r="G13" s="81">
        <v>46297</v>
      </c>
      <c r="H13" s="81">
        <v>5000</v>
      </c>
      <c r="I13" s="11" t="s">
        <v>7</v>
      </c>
      <c r="J13" s="12">
        <v>0.11</v>
      </c>
      <c r="K13" s="12">
        <v>0.52</v>
      </c>
      <c r="L13" s="13">
        <v>0.18</v>
      </c>
    </row>
    <row r="14" spans="2:18" x14ac:dyDescent="0.3">
      <c r="B14" s="89"/>
      <c r="C14" s="87"/>
      <c r="D14" s="76"/>
      <c r="E14" s="76"/>
      <c r="F14" s="76"/>
      <c r="G14" s="76"/>
      <c r="H14" s="76"/>
      <c r="I14" s="8" t="s">
        <v>8</v>
      </c>
      <c r="J14" s="17">
        <v>0.9</v>
      </c>
      <c r="K14" s="17">
        <v>0.5</v>
      </c>
      <c r="L14" s="18">
        <v>0.65</v>
      </c>
    </row>
    <row r="15" spans="2:18" x14ac:dyDescent="0.3">
      <c r="B15" s="89"/>
      <c r="C15" s="82" t="s">
        <v>16</v>
      </c>
      <c r="D15" s="81">
        <v>0.49</v>
      </c>
      <c r="E15" s="81">
        <v>1334</v>
      </c>
      <c r="F15" s="81">
        <v>1</v>
      </c>
      <c r="G15" s="81">
        <v>1357</v>
      </c>
      <c r="H15" s="81">
        <v>24</v>
      </c>
      <c r="I15" s="11" t="s">
        <v>7</v>
      </c>
      <c r="J15" s="25">
        <v>0.02</v>
      </c>
      <c r="K15" s="12">
        <v>0.04</v>
      </c>
      <c r="L15" s="26">
        <v>0</v>
      </c>
    </row>
    <row r="16" spans="2:18" x14ac:dyDescent="0.3">
      <c r="B16" s="92"/>
      <c r="C16" s="87"/>
      <c r="D16" s="76"/>
      <c r="E16" s="76"/>
      <c r="F16" s="76"/>
      <c r="G16" s="76"/>
      <c r="H16" s="76"/>
      <c r="I16" s="8" t="s">
        <v>8</v>
      </c>
      <c r="J16" s="17">
        <v>0.98</v>
      </c>
      <c r="K16" s="17">
        <v>0.5</v>
      </c>
      <c r="L16" s="18">
        <v>0.66</v>
      </c>
    </row>
    <row r="18" spans="2:36" ht="15" thickBot="1" x14ac:dyDescent="0.35"/>
    <row r="19" spans="2:36" x14ac:dyDescent="0.3">
      <c r="Z19" s="82" t="s">
        <v>14</v>
      </c>
      <c r="AA19" s="11" t="s">
        <v>7</v>
      </c>
      <c r="AB19" s="13">
        <v>0.54</v>
      </c>
      <c r="AH19" s="93" t="s">
        <v>14</v>
      </c>
      <c r="AI19" s="22" t="s">
        <v>7</v>
      </c>
      <c r="AJ19" s="24">
        <v>0.09</v>
      </c>
    </row>
    <row r="20" spans="2:36" x14ac:dyDescent="0.3">
      <c r="B20" s="73" t="s">
        <v>17</v>
      </c>
      <c r="C20" s="71" t="s">
        <v>44</v>
      </c>
      <c r="D20" s="71" t="s">
        <v>1</v>
      </c>
      <c r="E20" s="72" t="s">
        <v>2</v>
      </c>
      <c r="F20" s="71" t="s">
        <v>3</v>
      </c>
      <c r="G20" s="71" t="s">
        <v>4</v>
      </c>
      <c r="H20" s="71" t="s">
        <v>5</v>
      </c>
      <c r="M20" s="47" t="s">
        <v>44</v>
      </c>
      <c r="N20" s="38" t="s">
        <v>1</v>
      </c>
      <c r="O20" s="38" t="s">
        <v>9</v>
      </c>
      <c r="P20" s="38" t="s">
        <v>10</v>
      </c>
      <c r="Q20" s="38" t="s">
        <v>11</v>
      </c>
      <c r="R20" s="38" t="s">
        <v>12</v>
      </c>
      <c r="S20" s="37" t="s">
        <v>2</v>
      </c>
      <c r="T20" s="38" t="s">
        <v>3</v>
      </c>
      <c r="U20" s="38" t="s">
        <v>4</v>
      </c>
      <c r="V20" s="39" t="s">
        <v>5</v>
      </c>
      <c r="Z20" s="83"/>
      <c r="AA20" s="14" t="s">
        <v>8</v>
      </c>
      <c r="AB20" s="16">
        <v>0.56000000000000005</v>
      </c>
      <c r="AH20" s="87"/>
      <c r="AI20" s="8" t="s">
        <v>8</v>
      </c>
      <c r="AJ20" s="18">
        <v>0.6</v>
      </c>
    </row>
    <row r="21" spans="2:36" x14ac:dyDescent="0.3">
      <c r="B21" s="74" t="s">
        <v>71</v>
      </c>
      <c r="C21" s="79" t="s">
        <v>6</v>
      </c>
      <c r="D21" s="74">
        <v>0.56000000000000005</v>
      </c>
      <c r="E21" s="43" t="s">
        <v>7</v>
      </c>
      <c r="F21" s="15">
        <v>0.54</v>
      </c>
      <c r="G21" s="15">
        <v>0.56999999999999995</v>
      </c>
      <c r="H21" s="15">
        <v>0.55000000000000004</v>
      </c>
      <c r="M21" s="96" t="s">
        <v>40</v>
      </c>
      <c r="N21" s="79">
        <v>0.96</v>
      </c>
      <c r="O21" s="79">
        <v>12896</v>
      </c>
      <c r="P21" s="79">
        <v>12887</v>
      </c>
      <c r="Q21" s="79">
        <v>598</v>
      </c>
      <c r="R21" s="79">
        <v>589</v>
      </c>
      <c r="S21" s="40" t="s">
        <v>7</v>
      </c>
      <c r="T21" s="41">
        <v>0.96</v>
      </c>
      <c r="U21" s="41">
        <v>0.96</v>
      </c>
      <c r="V21" s="42">
        <v>0.96</v>
      </c>
      <c r="Z21" s="82" t="s">
        <v>15</v>
      </c>
      <c r="AA21" s="11" t="s">
        <v>7</v>
      </c>
      <c r="AB21" s="13">
        <v>0.55000000000000004</v>
      </c>
      <c r="AH21" s="82" t="s">
        <v>15</v>
      </c>
      <c r="AI21" s="11" t="s">
        <v>7</v>
      </c>
      <c r="AJ21" s="13">
        <v>0.18</v>
      </c>
    </row>
    <row r="22" spans="2:36" x14ac:dyDescent="0.3">
      <c r="B22" s="74"/>
      <c r="C22" s="79"/>
      <c r="D22" s="77"/>
      <c r="E22" s="41" t="s">
        <v>8</v>
      </c>
      <c r="F22" s="15">
        <v>0.57999999999999996</v>
      </c>
      <c r="G22" s="15">
        <v>0.56000000000000005</v>
      </c>
      <c r="H22" s="15">
        <v>0.56999999999999995</v>
      </c>
      <c r="M22" s="94"/>
      <c r="N22" s="79"/>
      <c r="O22" s="79"/>
      <c r="P22" s="79"/>
      <c r="Q22" s="79"/>
      <c r="R22" s="79"/>
      <c r="S22" s="43" t="s">
        <v>8</v>
      </c>
      <c r="T22" s="41">
        <v>0.96</v>
      </c>
      <c r="U22" s="41">
        <v>0.96</v>
      </c>
      <c r="V22" s="42">
        <v>0.96</v>
      </c>
      <c r="Z22" s="87"/>
      <c r="AA22" s="8" t="s">
        <v>8</v>
      </c>
      <c r="AB22" s="18">
        <v>0.56999999999999995</v>
      </c>
      <c r="AH22" s="87"/>
      <c r="AI22" s="8" t="s">
        <v>8</v>
      </c>
      <c r="AJ22" s="18">
        <v>0.65</v>
      </c>
    </row>
    <row r="23" spans="2:36" x14ac:dyDescent="0.3">
      <c r="B23" s="74"/>
      <c r="C23" s="79" t="s">
        <v>13</v>
      </c>
      <c r="D23" s="77">
        <v>0.51</v>
      </c>
      <c r="E23" s="41" t="s">
        <v>7</v>
      </c>
      <c r="F23" s="15">
        <v>0.11</v>
      </c>
      <c r="G23" s="15">
        <v>0.52</v>
      </c>
      <c r="H23" s="15">
        <v>0.18</v>
      </c>
      <c r="M23" s="94" t="s">
        <v>13</v>
      </c>
      <c r="N23" s="79">
        <v>0.45</v>
      </c>
      <c r="O23" s="79">
        <v>1139</v>
      </c>
      <c r="P23" s="79">
        <v>76</v>
      </c>
      <c r="Q23" s="79">
        <v>1282</v>
      </c>
      <c r="R23" s="79">
        <v>219</v>
      </c>
      <c r="S23" s="43" t="s">
        <v>7</v>
      </c>
      <c r="T23" s="41">
        <v>0.06</v>
      </c>
      <c r="U23" s="41">
        <v>0.26</v>
      </c>
      <c r="V23" s="42">
        <v>0.09</v>
      </c>
      <c r="Z23" s="83" t="s">
        <v>16</v>
      </c>
      <c r="AA23" s="14" t="s">
        <v>7</v>
      </c>
      <c r="AB23" s="16">
        <v>0.2</v>
      </c>
      <c r="AH23" s="82" t="s">
        <v>16</v>
      </c>
      <c r="AI23" s="11" t="s">
        <v>7</v>
      </c>
      <c r="AJ23" s="26">
        <v>0</v>
      </c>
    </row>
    <row r="24" spans="2:36" ht="15" thickBot="1" x14ac:dyDescent="0.35">
      <c r="B24" s="76"/>
      <c r="C24" s="80"/>
      <c r="D24" s="78"/>
      <c r="E24" s="45" t="s">
        <v>8</v>
      </c>
      <c r="F24" s="17">
        <v>0.9</v>
      </c>
      <c r="G24" s="17">
        <v>0.5</v>
      </c>
      <c r="H24" s="17">
        <v>0.65</v>
      </c>
      <c r="M24" s="94"/>
      <c r="N24" s="79"/>
      <c r="O24" s="79"/>
      <c r="P24" s="79"/>
      <c r="Q24" s="79"/>
      <c r="R24" s="79"/>
      <c r="S24" s="43" t="s">
        <v>8</v>
      </c>
      <c r="T24" s="41">
        <v>0.84</v>
      </c>
      <c r="U24" s="41">
        <v>0.47</v>
      </c>
      <c r="V24" s="42">
        <v>0.6</v>
      </c>
      <c r="Z24" s="85"/>
      <c r="AA24" s="19" t="s">
        <v>8</v>
      </c>
      <c r="AB24" s="21">
        <v>0.52</v>
      </c>
      <c r="AH24" s="87"/>
      <c r="AI24" s="8" t="s">
        <v>8</v>
      </c>
      <c r="AJ24" s="18">
        <v>0.66</v>
      </c>
    </row>
    <row r="25" spans="2:36" x14ac:dyDescent="0.3">
      <c r="B25" s="74" t="s">
        <v>16</v>
      </c>
      <c r="C25" s="79" t="s">
        <v>6</v>
      </c>
      <c r="D25" s="77">
        <v>0.4</v>
      </c>
      <c r="E25" s="41" t="s">
        <v>7</v>
      </c>
      <c r="F25" s="15">
        <v>0.15</v>
      </c>
      <c r="G25" s="15">
        <v>0.3</v>
      </c>
      <c r="H25" s="15">
        <v>0.2</v>
      </c>
      <c r="M25" s="94" t="s">
        <v>6</v>
      </c>
      <c r="N25" s="79">
        <v>0.55000000000000004</v>
      </c>
      <c r="O25" s="79">
        <v>167</v>
      </c>
      <c r="P25" s="79">
        <v>158</v>
      </c>
      <c r="Q25" s="79">
        <v>138</v>
      </c>
      <c r="R25" s="79">
        <v>129</v>
      </c>
      <c r="S25" s="43" t="s">
        <v>7</v>
      </c>
      <c r="T25" s="41">
        <v>0.53</v>
      </c>
      <c r="U25" s="41">
        <v>0.55000000000000004</v>
      </c>
      <c r="V25" s="42">
        <v>0.54</v>
      </c>
    </row>
    <row r="26" spans="2:36" x14ac:dyDescent="0.3">
      <c r="B26" s="74"/>
      <c r="C26" s="79"/>
      <c r="D26" s="77"/>
      <c r="E26" s="41" t="s">
        <v>8</v>
      </c>
      <c r="F26" s="15">
        <v>0.66</v>
      </c>
      <c r="G26" s="15">
        <v>0.43</v>
      </c>
      <c r="H26" s="15">
        <v>0.52</v>
      </c>
      <c r="M26" s="95"/>
      <c r="N26" s="80"/>
      <c r="O26" s="80"/>
      <c r="P26" s="80"/>
      <c r="Q26" s="80"/>
      <c r="R26" s="80"/>
      <c r="S26" s="44" t="s">
        <v>8</v>
      </c>
      <c r="T26" s="45">
        <v>0.56000000000000005</v>
      </c>
      <c r="U26" s="45">
        <v>0.55000000000000004</v>
      </c>
      <c r="V26" s="46">
        <v>0.56000000000000005</v>
      </c>
    </row>
    <row r="27" spans="2:36" x14ac:dyDescent="0.3">
      <c r="B27" s="74"/>
      <c r="C27" s="79" t="s">
        <v>13</v>
      </c>
      <c r="D27" s="77">
        <v>0.49</v>
      </c>
      <c r="E27" s="41" t="s">
        <v>7</v>
      </c>
      <c r="F27" s="70">
        <v>0.02</v>
      </c>
      <c r="G27" s="15">
        <v>0.04</v>
      </c>
      <c r="H27" s="70">
        <v>0</v>
      </c>
    </row>
    <row r="28" spans="2:36" x14ac:dyDescent="0.3">
      <c r="B28" s="76"/>
      <c r="C28" s="80"/>
      <c r="D28" s="78"/>
      <c r="E28" s="45" t="s">
        <v>8</v>
      </c>
      <c r="F28" s="17">
        <v>0.98</v>
      </c>
      <c r="G28" s="17">
        <v>0.5</v>
      </c>
      <c r="H28" s="17">
        <v>0.66</v>
      </c>
    </row>
    <row r="29" spans="2:36" x14ac:dyDescent="0.3">
      <c r="B29" s="74" t="s">
        <v>72</v>
      </c>
      <c r="C29" s="74" t="s">
        <v>6</v>
      </c>
      <c r="D29" s="75">
        <v>0.61</v>
      </c>
      <c r="E29" s="15" t="s">
        <v>7</v>
      </c>
      <c r="F29" s="15">
        <v>0.65</v>
      </c>
      <c r="G29" s="15">
        <v>0.6</v>
      </c>
      <c r="H29" s="15">
        <v>0.63</v>
      </c>
    </row>
    <row r="30" spans="2:36" x14ac:dyDescent="0.3">
      <c r="B30" s="74"/>
      <c r="C30" s="74"/>
      <c r="D30" s="75"/>
      <c r="E30" s="15" t="s">
        <v>69</v>
      </c>
      <c r="F30" s="15">
        <v>0.44</v>
      </c>
      <c r="G30" s="15">
        <v>0.7</v>
      </c>
      <c r="H30" s="15">
        <v>0.54</v>
      </c>
    </row>
    <row r="31" spans="2:36" x14ac:dyDescent="0.3">
      <c r="B31" s="74"/>
      <c r="C31" s="74"/>
      <c r="D31" s="75"/>
      <c r="E31" s="15" t="s">
        <v>68</v>
      </c>
      <c r="F31" s="15">
        <v>0.69</v>
      </c>
      <c r="G31" s="15">
        <v>0.6</v>
      </c>
      <c r="H31" s="15">
        <v>0.64</v>
      </c>
    </row>
    <row r="32" spans="2:36" x14ac:dyDescent="0.3">
      <c r="B32" s="74"/>
      <c r="C32" s="74" t="s">
        <v>13</v>
      </c>
      <c r="D32" s="75">
        <v>0.28999999999999998</v>
      </c>
      <c r="E32" s="15" t="s">
        <v>7</v>
      </c>
      <c r="F32" s="15">
        <v>0.25</v>
      </c>
      <c r="G32" s="15">
        <v>0.05</v>
      </c>
      <c r="H32" s="15">
        <v>0.08</v>
      </c>
    </row>
    <row r="33" spans="2:19" x14ac:dyDescent="0.3">
      <c r="B33" s="74"/>
      <c r="C33" s="74"/>
      <c r="D33" s="75"/>
      <c r="E33" s="15" t="s">
        <v>69</v>
      </c>
      <c r="F33" s="15">
        <v>0.75</v>
      </c>
      <c r="G33" s="15">
        <v>0.5</v>
      </c>
      <c r="H33" s="15">
        <v>0.6</v>
      </c>
    </row>
    <row r="34" spans="2:19" x14ac:dyDescent="0.3">
      <c r="B34" s="74"/>
      <c r="C34" s="74"/>
      <c r="D34" s="75"/>
      <c r="E34" s="15" t="s">
        <v>68</v>
      </c>
      <c r="F34" s="15">
        <v>7.0000000000000007E-2</v>
      </c>
      <c r="G34" s="15">
        <v>0.87</v>
      </c>
      <c r="H34" s="15">
        <v>0.13</v>
      </c>
    </row>
    <row r="37" spans="2:19" x14ac:dyDescent="0.3">
      <c r="B37" s="73" t="s">
        <v>17</v>
      </c>
      <c r="C37" s="71" t="s">
        <v>44</v>
      </c>
      <c r="D37" s="71" t="s">
        <v>1</v>
      </c>
      <c r="E37" s="72" t="s">
        <v>2</v>
      </c>
      <c r="F37" s="71" t="s">
        <v>3</v>
      </c>
      <c r="G37" s="71" t="s">
        <v>4</v>
      </c>
      <c r="H37" s="71" t="s">
        <v>5</v>
      </c>
      <c r="N37" s="71" t="s">
        <v>44</v>
      </c>
      <c r="O37" s="71" t="s">
        <v>1</v>
      </c>
      <c r="P37" s="72" t="s">
        <v>2</v>
      </c>
      <c r="Q37" s="71" t="s">
        <v>3</v>
      </c>
      <c r="R37" s="71" t="s">
        <v>4</v>
      </c>
      <c r="S37" s="71" t="s">
        <v>5</v>
      </c>
    </row>
    <row r="38" spans="2:19" x14ac:dyDescent="0.3">
      <c r="B38" s="74" t="s">
        <v>72</v>
      </c>
      <c r="C38" s="74" t="s">
        <v>6</v>
      </c>
      <c r="D38" s="75">
        <v>0.61</v>
      </c>
      <c r="E38" s="15" t="s">
        <v>7</v>
      </c>
      <c r="F38" s="15">
        <v>0.65</v>
      </c>
      <c r="G38" s="15">
        <v>0.6</v>
      </c>
      <c r="H38" s="15">
        <v>0.63</v>
      </c>
      <c r="N38" s="74" t="s">
        <v>6</v>
      </c>
      <c r="O38" s="75">
        <v>0.61</v>
      </c>
      <c r="P38" s="15" t="s">
        <v>7</v>
      </c>
      <c r="Q38" s="15">
        <v>0.65</v>
      </c>
      <c r="R38" s="15">
        <v>0.6</v>
      </c>
      <c r="S38" s="15">
        <v>0.63</v>
      </c>
    </row>
    <row r="39" spans="2:19" x14ac:dyDescent="0.3">
      <c r="B39" s="74"/>
      <c r="C39" s="74"/>
      <c r="D39" s="75"/>
      <c r="E39" s="15" t="s">
        <v>69</v>
      </c>
      <c r="F39" s="15">
        <v>0.44</v>
      </c>
      <c r="G39" s="15">
        <v>0.7</v>
      </c>
      <c r="H39" s="15">
        <v>0.54</v>
      </c>
      <c r="N39" s="74"/>
      <c r="O39" s="75"/>
      <c r="P39" s="15" t="s">
        <v>69</v>
      </c>
      <c r="Q39" s="15">
        <v>0.44</v>
      </c>
      <c r="R39" s="15">
        <v>0.7</v>
      </c>
      <c r="S39" s="15">
        <v>0.54</v>
      </c>
    </row>
    <row r="40" spans="2:19" x14ac:dyDescent="0.3">
      <c r="B40" s="74"/>
      <c r="C40" s="74"/>
      <c r="D40" s="75"/>
      <c r="E40" s="15" t="s">
        <v>68</v>
      </c>
      <c r="F40" s="15">
        <v>0.69</v>
      </c>
      <c r="G40" s="15">
        <v>0.6</v>
      </c>
      <c r="H40" s="15">
        <v>0.64</v>
      </c>
      <c r="N40" s="74"/>
      <c r="O40" s="75"/>
      <c r="P40" s="15" t="s">
        <v>68</v>
      </c>
      <c r="Q40" s="15">
        <v>0.69</v>
      </c>
      <c r="R40" s="15">
        <v>0.6</v>
      </c>
      <c r="S40" s="15">
        <v>0.64</v>
      </c>
    </row>
    <row r="41" spans="2:19" x14ac:dyDescent="0.3">
      <c r="B41" s="74"/>
      <c r="C41" s="74" t="s">
        <v>13</v>
      </c>
      <c r="D41" s="75">
        <v>0.28999999999999998</v>
      </c>
      <c r="E41" s="15" t="s">
        <v>7</v>
      </c>
      <c r="F41" s="15">
        <v>0.25</v>
      </c>
      <c r="G41" s="15">
        <v>0.05</v>
      </c>
      <c r="H41" s="15">
        <v>0.08</v>
      </c>
      <c r="N41" s="74" t="s">
        <v>13</v>
      </c>
      <c r="O41" s="75">
        <v>0.28999999999999998</v>
      </c>
      <c r="P41" s="15" t="s">
        <v>7</v>
      </c>
      <c r="Q41" s="15">
        <v>0.25</v>
      </c>
      <c r="R41" s="15">
        <v>0.05</v>
      </c>
      <c r="S41" s="15">
        <v>0.08</v>
      </c>
    </row>
    <row r="42" spans="2:19" x14ac:dyDescent="0.3">
      <c r="B42" s="74"/>
      <c r="C42" s="74"/>
      <c r="D42" s="75"/>
      <c r="E42" s="15" t="s">
        <v>69</v>
      </c>
      <c r="F42" s="15">
        <v>0.75</v>
      </c>
      <c r="G42" s="15">
        <v>0.5</v>
      </c>
      <c r="H42" s="15">
        <v>0.6</v>
      </c>
      <c r="N42" s="74"/>
      <c r="O42" s="75"/>
      <c r="P42" s="15" t="s">
        <v>69</v>
      </c>
      <c r="Q42" s="15">
        <v>0.75</v>
      </c>
      <c r="R42" s="15">
        <v>0.5</v>
      </c>
      <c r="S42" s="15">
        <v>0.6</v>
      </c>
    </row>
    <row r="43" spans="2:19" x14ac:dyDescent="0.3">
      <c r="B43" s="74"/>
      <c r="C43" s="74"/>
      <c r="D43" s="75"/>
      <c r="E43" s="15" t="s">
        <v>68</v>
      </c>
      <c r="F43" s="15">
        <v>7.0000000000000007E-2</v>
      </c>
      <c r="G43" s="15">
        <v>0.87</v>
      </c>
      <c r="H43" s="15">
        <v>0.13</v>
      </c>
      <c r="N43" s="74"/>
      <c r="O43" s="75"/>
      <c r="P43" s="15" t="s">
        <v>68</v>
      </c>
      <c r="Q43" s="15">
        <v>7.0000000000000007E-2</v>
      </c>
      <c r="R43" s="15">
        <v>0.87</v>
      </c>
      <c r="S43" s="15">
        <v>0.13</v>
      </c>
    </row>
  </sheetData>
  <mergeCells count="86">
    <mergeCell ref="AH23:AH24"/>
    <mergeCell ref="Z19:Z20"/>
    <mergeCell ref="Z21:Z22"/>
    <mergeCell ref="Z23:Z24"/>
    <mergeCell ref="AH19:AH20"/>
    <mergeCell ref="AH21:AH22"/>
    <mergeCell ref="P21:P22"/>
    <mergeCell ref="Q21:Q22"/>
    <mergeCell ref="R21:R22"/>
    <mergeCell ref="M21:M22"/>
    <mergeCell ref="N21:N22"/>
    <mergeCell ref="O21:O22"/>
    <mergeCell ref="Q25:Q26"/>
    <mergeCell ref="R25:R26"/>
    <mergeCell ref="M23:M24"/>
    <mergeCell ref="N23:N24"/>
    <mergeCell ref="O23:O24"/>
    <mergeCell ref="P23:P24"/>
    <mergeCell ref="Q23:Q24"/>
    <mergeCell ref="R23:R24"/>
    <mergeCell ref="M25:M26"/>
    <mergeCell ref="N25:N26"/>
    <mergeCell ref="O25:O26"/>
    <mergeCell ref="P25:P26"/>
    <mergeCell ref="B5:B10"/>
    <mergeCell ref="B11:B16"/>
    <mergeCell ref="C15:C16"/>
    <mergeCell ref="D15:D16"/>
    <mergeCell ref="E15:E16"/>
    <mergeCell ref="C11:C12"/>
    <mergeCell ref="D11:D12"/>
    <mergeCell ref="E11:E12"/>
    <mergeCell ref="C7:C8"/>
    <mergeCell ref="D7:D8"/>
    <mergeCell ref="E7:E8"/>
    <mergeCell ref="F15:F16"/>
    <mergeCell ref="G15:G16"/>
    <mergeCell ref="H15:H16"/>
    <mergeCell ref="C13:C14"/>
    <mergeCell ref="D13:D14"/>
    <mergeCell ref="E13:E14"/>
    <mergeCell ref="F13:F14"/>
    <mergeCell ref="G13:G14"/>
    <mergeCell ref="H13:H14"/>
    <mergeCell ref="F11:F12"/>
    <mergeCell ref="G11:G12"/>
    <mergeCell ref="H11:H12"/>
    <mergeCell ref="C9:C10"/>
    <mergeCell ref="D9:D10"/>
    <mergeCell ref="E9:E10"/>
    <mergeCell ref="F9:F10"/>
    <mergeCell ref="G9:G10"/>
    <mergeCell ref="H9:H10"/>
    <mergeCell ref="F7:F8"/>
    <mergeCell ref="G7:G8"/>
    <mergeCell ref="H7:H8"/>
    <mergeCell ref="C5:C6"/>
    <mergeCell ref="D5:D6"/>
    <mergeCell ref="E5:E6"/>
    <mergeCell ref="F5:F6"/>
    <mergeCell ref="G5:G6"/>
    <mergeCell ref="H5:H6"/>
    <mergeCell ref="B21:B24"/>
    <mergeCell ref="D21:D22"/>
    <mergeCell ref="D23:D24"/>
    <mergeCell ref="C27:C28"/>
    <mergeCell ref="D27:D28"/>
    <mergeCell ref="D25:D26"/>
    <mergeCell ref="B25:B28"/>
    <mergeCell ref="C21:C22"/>
    <mergeCell ref="C23:C24"/>
    <mergeCell ref="C25:C26"/>
    <mergeCell ref="C29:C31"/>
    <mergeCell ref="D29:D31"/>
    <mergeCell ref="C32:C34"/>
    <mergeCell ref="D32:D34"/>
    <mergeCell ref="B29:B34"/>
    <mergeCell ref="N38:N40"/>
    <mergeCell ref="O38:O40"/>
    <mergeCell ref="N41:N43"/>
    <mergeCell ref="O41:O43"/>
    <mergeCell ref="B38:B43"/>
    <mergeCell ref="C38:C40"/>
    <mergeCell ref="D38:D40"/>
    <mergeCell ref="C41:C43"/>
    <mergeCell ref="D41:D43"/>
  </mergeCells>
  <phoneticPr fontId="3" type="noConversion"/>
  <conditionalFormatting sqref="E34 E3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 E4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:H34">
    <cfRule type="cellIs" dxfId="20" priority="8" operator="greaterThan">
      <formula>0.7</formula>
    </cfRule>
    <cfRule type="cellIs" dxfId="19" priority="9" operator="greaterThan">
      <formula>"0.7"</formula>
    </cfRule>
  </conditionalFormatting>
  <conditionalFormatting sqref="H38:H43">
    <cfRule type="cellIs" dxfId="18" priority="5" operator="greaterThan">
      <formula>0.7</formula>
    </cfRule>
    <cfRule type="cellIs" dxfId="17" priority="6" operator="greaterThan">
      <formula>"0.7"</formula>
    </cfRule>
  </conditionalFormatting>
  <conditionalFormatting sqref="P43 P4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8:S43">
    <cfRule type="cellIs" dxfId="16" priority="2" operator="greaterThan">
      <formula>0.7</formula>
    </cfRule>
    <cfRule type="cellIs" dxfId="15" priority="3" operator="greaterThan">
      <formula>"0.7"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16EC7-BFEE-4FAD-9A64-77ED21445D64}">
  <dimension ref="C7:M34"/>
  <sheetViews>
    <sheetView topLeftCell="B8" zoomScale="83" workbookViewId="0">
      <selection activeCell="K16" sqref="K16:M17"/>
    </sheetView>
  </sheetViews>
  <sheetFormatPr baseColWidth="10" defaultRowHeight="14.4" x14ac:dyDescent="0.3"/>
  <cols>
    <col min="1" max="2" width="14.33203125" bestFit="1" customWidth="1"/>
    <col min="4" max="4" width="12.77734375" bestFit="1" customWidth="1"/>
  </cols>
  <sheetData>
    <row r="7" spans="3:13" x14ac:dyDescent="0.3">
      <c r="D7" t="s">
        <v>32</v>
      </c>
    </row>
    <row r="11" spans="3:13" x14ac:dyDescent="0.3">
      <c r="C11" s="9" t="s">
        <v>23</v>
      </c>
      <c r="D11" s="27" t="s">
        <v>0</v>
      </c>
      <c r="E11" s="27" t="s">
        <v>1</v>
      </c>
      <c r="F11" s="27" t="s">
        <v>9</v>
      </c>
      <c r="G11" s="27" t="s">
        <v>10</v>
      </c>
      <c r="H11" s="27" t="s">
        <v>11</v>
      </c>
      <c r="I11" s="28" t="s">
        <v>12</v>
      </c>
      <c r="J11" s="9" t="s">
        <v>2</v>
      </c>
      <c r="K11" s="9" t="s">
        <v>3</v>
      </c>
      <c r="L11" s="9" t="s">
        <v>4</v>
      </c>
      <c r="M11" s="9" t="s">
        <v>5</v>
      </c>
    </row>
    <row r="12" spans="3:13" x14ac:dyDescent="0.3">
      <c r="C12" s="97" t="s">
        <v>19</v>
      </c>
      <c r="D12" s="82" t="s">
        <v>20</v>
      </c>
      <c r="E12" s="81">
        <v>0.9</v>
      </c>
      <c r="F12" s="81">
        <v>11722</v>
      </c>
      <c r="G12" s="81">
        <v>12660</v>
      </c>
      <c r="H12" s="81">
        <v>825</v>
      </c>
      <c r="I12" s="100">
        <v>1763</v>
      </c>
      <c r="J12" s="12" t="s">
        <v>7</v>
      </c>
      <c r="K12" s="12">
        <v>0.87</v>
      </c>
      <c r="L12" s="12">
        <v>0.94</v>
      </c>
      <c r="M12" s="13">
        <v>0.9</v>
      </c>
    </row>
    <row r="13" spans="3:13" x14ac:dyDescent="0.3">
      <c r="C13" s="97"/>
      <c r="D13" s="87"/>
      <c r="E13" s="76"/>
      <c r="F13" s="76"/>
      <c r="G13" s="76"/>
      <c r="H13" s="76"/>
      <c r="I13" s="78"/>
      <c r="J13" s="15" t="s">
        <v>8</v>
      </c>
      <c r="K13" s="15">
        <v>0.93</v>
      </c>
      <c r="L13" s="15">
        <v>0.87</v>
      </c>
      <c r="M13" s="16">
        <v>0.9</v>
      </c>
    </row>
    <row r="14" spans="3:13" x14ac:dyDescent="0.3">
      <c r="C14" s="97"/>
      <c r="D14" s="82" t="s">
        <v>21</v>
      </c>
      <c r="E14" s="81">
        <v>0.88</v>
      </c>
      <c r="F14" s="81">
        <v>8085</v>
      </c>
      <c r="G14" s="81">
        <v>8749</v>
      </c>
      <c r="H14" s="81">
        <v>760</v>
      </c>
      <c r="I14" s="100">
        <v>1424</v>
      </c>
      <c r="J14" s="12" t="s">
        <v>7</v>
      </c>
      <c r="K14" s="12">
        <v>0.86</v>
      </c>
      <c r="L14" s="12">
        <v>0.92</v>
      </c>
      <c r="M14" s="13">
        <v>0.89</v>
      </c>
    </row>
    <row r="15" spans="3:13" x14ac:dyDescent="0.3">
      <c r="C15" s="97"/>
      <c r="D15" s="87"/>
      <c r="E15" s="76"/>
      <c r="F15" s="76"/>
      <c r="G15" s="76"/>
      <c r="H15" s="76"/>
      <c r="I15" s="78"/>
      <c r="J15" s="15" t="s">
        <v>8</v>
      </c>
      <c r="K15" s="15">
        <v>0.91</v>
      </c>
      <c r="L15" s="15">
        <v>0.85</v>
      </c>
      <c r="M15" s="16">
        <v>0.88</v>
      </c>
    </row>
    <row r="16" spans="3:13" x14ac:dyDescent="0.3">
      <c r="C16" s="97"/>
      <c r="D16" s="83" t="s">
        <v>22</v>
      </c>
      <c r="E16" s="74">
        <v>0.9</v>
      </c>
      <c r="F16" s="74">
        <v>20169</v>
      </c>
      <c r="G16" s="74">
        <v>21024</v>
      </c>
      <c r="H16" s="74">
        <v>1970</v>
      </c>
      <c r="I16" s="77">
        <v>599</v>
      </c>
      <c r="J16" s="12" t="s">
        <v>7</v>
      </c>
      <c r="K16" s="12">
        <v>0.89</v>
      </c>
      <c r="L16" s="12">
        <v>0.91</v>
      </c>
      <c r="M16" s="13">
        <v>0.89</v>
      </c>
    </row>
    <row r="17" spans="3:13" ht="15" thickBot="1" x14ac:dyDescent="0.35">
      <c r="C17" s="101"/>
      <c r="D17" s="85"/>
      <c r="E17" s="86"/>
      <c r="F17" s="86"/>
      <c r="G17" s="86"/>
      <c r="H17" s="86"/>
      <c r="I17" s="99"/>
      <c r="J17" s="20" t="s">
        <v>8</v>
      </c>
      <c r="K17" s="20">
        <v>0.91</v>
      </c>
      <c r="L17" s="20">
        <v>0.88</v>
      </c>
      <c r="M17" s="21">
        <v>0.89</v>
      </c>
    </row>
    <row r="18" spans="3:13" x14ac:dyDescent="0.3">
      <c r="C18" s="97" t="s">
        <v>18</v>
      </c>
      <c r="D18" s="83" t="s">
        <v>20</v>
      </c>
      <c r="E18" s="74">
        <v>0.96</v>
      </c>
      <c r="F18" s="74">
        <v>12896</v>
      </c>
      <c r="G18" s="74">
        <v>12887</v>
      </c>
      <c r="H18" s="74">
        <v>598</v>
      </c>
      <c r="I18" s="74">
        <v>589</v>
      </c>
      <c r="J18" s="14" t="s">
        <v>7</v>
      </c>
      <c r="K18" s="15">
        <v>0.96</v>
      </c>
      <c r="L18" s="15">
        <v>0.96</v>
      </c>
      <c r="M18" s="16">
        <v>0.96</v>
      </c>
    </row>
    <row r="19" spans="3:13" x14ac:dyDescent="0.3">
      <c r="C19" s="97"/>
      <c r="D19" s="87"/>
      <c r="E19" s="76"/>
      <c r="F19" s="76"/>
      <c r="G19" s="76"/>
      <c r="H19" s="76"/>
      <c r="I19" s="76"/>
      <c r="J19" s="8" t="s">
        <v>8</v>
      </c>
      <c r="K19" s="17">
        <v>0.96</v>
      </c>
      <c r="L19" s="17">
        <v>0.96</v>
      </c>
      <c r="M19" s="18">
        <v>0.96</v>
      </c>
    </row>
    <row r="20" spans="3:13" x14ac:dyDescent="0.3">
      <c r="C20" s="97"/>
      <c r="D20" s="83" t="s">
        <v>21</v>
      </c>
      <c r="E20" s="74">
        <v>0.94</v>
      </c>
      <c r="F20" s="74">
        <v>8912</v>
      </c>
      <c r="G20" s="74">
        <v>8962</v>
      </c>
      <c r="H20" s="74">
        <v>547</v>
      </c>
      <c r="I20" s="74">
        <v>597</v>
      </c>
      <c r="J20" s="14" t="s">
        <v>7</v>
      </c>
      <c r="K20" s="15">
        <v>0.94</v>
      </c>
      <c r="L20" s="15">
        <v>0.94</v>
      </c>
      <c r="M20" s="16">
        <v>0.94</v>
      </c>
    </row>
    <row r="21" spans="3:13" x14ac:dyDescent="0.3">
      <c r="C21" s="98"/>
      <c r="D21" s="87"/>
      <c r="E21" s="76"/>
      <c r="F21" s="76"/>
      <c r="G21" s="76"/>
      <c r="H21" s="76"/>
      <c r="I21" s="76"/>
      <c r="J21" s="8" t="s">
        <v>8</v>
      </c>
      <c r="K21" s="17">
        <v>0.94</v>
      </c>
      <c r="L21" s="17">
        <v>0.94</v>
      </c>
      <c r="M21" s="18">
        <v>0.94</v>
      </c>
    </row>
    <row r="29" spans="3:13" x14ac:dyDescent="0.3">
      <c r="H29" s="82" t="s">
        <v>20</v>
      </c>
      <c r="I29" s="12" t="s">
        <v>7</v>
      </c>
      <c r="J29" s="13">
        <v>0.9</v>
      </c>
    </row>
    <row r="30" spans="3:13" x14ac:dyDescent="0.3">
      <c r="H30" s="87"/>
      <c r="I30" s="15" t="s">
        <v>8</v>
      </c>
      <c r="J30" s="16">
        <v>0.9</v>
      </c>
    </row>
    <row r="31" spans="3:13" x14ac:dyDescent="0.3">
      <c r="H31" s="82" t="s">
        <v>21</v>
      </c>
      <c r="I31" s="12" t="s">
        <v>7</v>
      </c>
      <c r="J31" s="13">
        <v>0.89</v>
      </c>
    </row>
    <row r="32" spans="3:13" x14ac:dyDescent="0.3">
      <c r="H32" s="87"/>
      <c r="I32" s="15" t="s">
        <v>8</v>
      </c>
      <c r="J32" s="16">
        <v>0.88</v>
      </c>
    </row>
    <row r="33" spans="8:10" x14ac:dyDescent="0.3">
      <c r="H33" s="83" t="s">
        <v>22</v>
      </c>
      <c r="I33" s="12" t="s">
        <v>7</v>
      </c>
      <c r="J33" s="13">
        <v>0.89</v>
      </c>
    </row>
    <row r="34" spans="8:10" ht="15" thickBot="1" x14ac:dyDescent="0.35">
      <c r="H34" s="85"/>
      <c r="I34" s="20" t="s">
        <v>8</v>
      </c>
      <c r="J34" s="21">
        <v>0.89</v>
      </c>
    </row>
  </sheetData>
  <mergeCells count="35">
    <mergeCell ref="H29:H30"/>
    <mergeCell ref="H31:H32"/>
    <mergeCell ref="H33:H34"/>
    <mergeCell ref="C12:C17"/>
    <mergeCell ref="E12:E13"/>
    <mergeCell ref="G16:G17"/>
    <mergeCell ref="H16:H17"/>
    <mergeCell ref="I16:I17"/>
    <mergeCell ref="D16:D17"/>
    <mergeCell ref="D14:D15"/>
    <mergeCell ref="D12:D13"/>
    <mergeCell ref="E16:E17"/>
    <mergeCell ref="F16:F17"/>
    <mergeCell ref="I12:I13"/>
    <mergeCell ref="E14:E15"/>
    <mergeCell ref="F14:F15"/>
    <mergeCell ref="G14:G15"/>
    <mergeCell ref="H14:H15"/>
    <mergeCell ref="I14:I15"/>
    <mergeCell ref="F12:F13"/>
    <mergeCell ref="G12:G13"/>
    <mergeCell ref="H12:H13"/>
    <mergeCell ref="I20:I21"/>
    <mergeCell ref="C18:C21"/>
    <mergeCell ref="E18:E19"/>
    <mergeCell ref="F18:F19"/>
    <mergeCell ref="G18:G19"/>
    <mergeCell ref="H18:H19"/>
    <mergeCell ref="I18:I19"/>
    <mergeCell ref="D20:D21"/>
    <mergeCell ref="E20:E21"/>
    <mergeCell ref="F20:F21"/>
    <mergeCell ref="G20:G21"/>
    <mergeCell ref="H20:H21"/>
    <mergeCell ref="D18:D19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51728-562D-459E-841E-B35EAF422DFD}">
  <dimension ref="B3:AF29"/>
  <sheetViews>
    <sheetView zoomScale="80" workbookViewId="0">
      <selection activeCell="AB13" sqref="AB13:AB15"/>
    </sheetView>
  </sheetViews>
  <sheetFormatPr baseColWidth="10" defaultRowHeight="14.4" x14ac:dyDescent="0.3"/>
  <cols>
    <col min="16" max="16" width="13.88671875" bestFit="1" customWidth="1"/>
  </cols>
  <sheetData>
    <row r="3" spans="2:32" x14ac:dyDescent="0.3">
      <c r="B3" s="29" t="s">
        <v>23</v>
      </c>
      <c r="C3" s="29" t="s">
        <v>0</v>
      </c>
      <c r="D3" s="9" t="s">
        <v>1</v>
      </c>
      <c r="E3" s="9" t="s">
        <v>9</v>
      </c>
      <c r="F3" s="9" t="s">
        <v>10</v>
      </c>
      <c r="G3" s="9" t="s">
        <v>11</v>
      </c>
      <c r="H3" s="9" t="s">
        <v>12</v>
      </c>
      <c r="I3" s="9" t="s">
        <v>2</v>
      </c>
      <c r="J3" s="9" t="s">
        <v>3</v>
      </c>
      <c r="K3" s="9" t="s">
        <v>4</v>
      </c>
      <c r="L3" s="9" t="s">
        <v>5</v>
      </c>
    </row>
    <row r="4" spans="2:32" ht="14.4" customHeight="1" x14ac:dyDescent="0.3">
      <c r="B4" s="103" t="s">
        <v>24</v>
      </c>
      <c r="C4" s="82" t="s">
        <v>6</v>
      </c>
      <c r="D4" s="81">
        <v>0.64</v>
      </c>
      <c r="E4" s="81">
        <v>201</v>
      </c>
      <c r="F4" s="81">
        <v>175</v>
      </c>
      <c r="G4" s="81">
        <v>121</v>
      </c>
      <c r="H4" s="100">
        <v>95</v>
      </c>
      <c r="I4" s="14" t="s">
        <v>7</v>
      </c>
      <c r="J4" s="15">
        <v>0.65</v>
      </c>
      <c r="K4" s="15">
        <v>0.59</v>
      </c>
      <c r="L4" s="16">
        <v>0.62</v>
      </c>
    </row>
    <row r="5" spans="2:32" x14ac:dyDescent="0.3">
      <c r="B5" s="97"/>
      <c r="C5" s="87"/>
      <c r="D5" s="76"/>
      <c r="E5" s="76"/>
      <c r="F5" s="76"/>
      <c r="G5" s="76"/>
      <c r="H5" s="78"/>
      <c r="I5" s="8" t="s">
        <v>8</v>
      </c>
      <c r="J5" s="17">
        <v>0.62</v>
      </c>
      <c r="K5" s="17">
        <v>0.68</v>
      </c>
      <c r="L5" s="18">
        <v>0.65</v>
      </c>
    </row>
    <row r="6" spans="2:32" x14ac:dyDescent="0.3">
      <c r="B6" s="97"/>
      <c r="C6" s="82" t="s">
        <v>13</v>
      </c>
      <c r="D6" s="81">
        <v>0.43</v>
      </c>
      <c r="E6" s="81">
        <v>1206</v>
      </c>
      <c r="F6" s="81">
        <v>64</v>
      </c>
      <c r="G6" s="81">
        <v>1294</v>
      </c>
      <c r="H6" s="100">
        <v>152</v>
      </c>
      <c r="I6" s="14" t="s">
        <v>7</v>
      </c>
      <c r="J6" s="15">
        <v>0.3</v>
      </c>
      <c r="K6" s="15">
        <v>0.05</v>
      </c>
      <c r="L6" s="16">
        <v>0.08</v>
      </c>
    </row>
    <row r="7" spans="2:32" ht="15" thickBot="1" x14ac:dyDescent="0.35">
      <c r="B7" s="101"/>
      <c r="C7" s="85"/>
      <c r="D7" s="86"/>
      <c r="E7" s="86"/>
      <c r="F7" s="86"/>
      <c r="G7" s="86"/>
      <c r="H7" s="99"/>
      <c r="I7" s="19" t="s">
        <v>8</v>
      </c>
      <c r="J7" s="20">
        <v>0.48</v>
      </c>
      <c r="K7" s="20">
        <v>0.89</v>
      </c>
      <c r="L7" s="21">
        <v>0.63</v>
      </c>
    </row>
    <row r="8" spans="2:32" ht="14.4" customHeight="1" x14ac:dyDescent="0.3">
      <c r="B8" s="102" t="s">
        <v>27</v>
      </c>
      <c r="C8" s="93" t="s">
        <v>25</v>
      </c>
      <c r="D8" s="84">
        <v>0.6</v>
      </c>
      <c r="E8" s="84">
        <v>243</v>
      </c>
      <c r="F8" s="84">
        <v>115</v>
      </c>
      <c r="G8" s="84">
        <v>181</v>
      </c>
      <c r="H8" s="104">
        <v>53</v>
      </c>
      <c r="I8" s="22" t="s">
        <v>7</v>
      </c>
      <c r="J8" s="23">
        <v>0.68</v>
      </c>
      <c r="K8" s="23">
        <v>0.39</v>
      </c>
      <c r="L8" s="24">
        <v>0.5</v>
      </c>
    </row>
    <row r="9" spans="2:32" x14ac:dyDescent="0.3">
      <c r="B9" s="97"/>
      <c r="C9" s="87"/>
      <c r="D9" s="76"/>
      <c r="E9" s="76"/>
      <c r="F9" s="76"/>
      <c r="G9" s="76"/>
      <c r="H9" s="78"/>
      <c r="I9" s="8" t="s">
        <v>8</v>
      </c>
      <c r="J9" s="17">
        <v>0.56999999999999995</v>
      </c>
      <c r="K9" s="17">
        <v>0.82</v>
      </c>
      <c r="L9" s="18">
        <v>0.67</v>
      </c>
    </row>
    <row r="10" spans="2:32" x14ac:dyDescent="0.3">
      <c r="B10" s="97"/>
      <c r="C10" s="82" t="s">
        <v>13</v>
      </c>
      <c r="D10" s="81">
        <v>0.49</v>
      </c>
      <c r="E10" s="81">
        <v>1320</v>
      </c>
      <c r="F10" s="81">
        <v>8</v>
      </c>
      <c r="G10" s="81">
        <v>1350</v>
      </c>
      <c r="H10" s="100">
        <v>38</v>
      </c>
      <c r="I10" s="14" t="s">
        <v>7</v>
      </c>
      <c r="J10" s="15">
        <v>0.17</v>
      </c>
      <c r="K10" s="15">
        <v>0.01</v>
      </c>
      <c r="L10" s="16">
        <v>0.01</v>
      </c>
    </row>
    <row r="11" spans="2:32" ht="15" thickBot="1" x14ac:dyDescent="0.35">
      <c r="B11" s="101"/>
      <c r="C11" s="85"/>
      <c r="D11" s="86"/>
      <c r="E11" s="86"/>
      <c r="F11" s="86"/>
      <c r="G11" s="86"/>
      <c r="H11" s="99"/>
      <c r="I11" s="19" t="s">
        <v>8</v>
      </c>
      <c r="J11" s="20">
        <v>0.49</v>
      </c>
      <c r="K11" s="20">
        <v>0.97</v>
      </c>
      <c r="L11" s="21">
        <v>0.66</v>
      </c>
    </row>
    <row r="12" spans="2:32" ht="14.4" customHeight="1" x14ac:dyDescent="0.3">
      <c r="B12" s="102" t="s">
        <v>28</v>
      </c>
      <c r="C12" s="93" t="s">
        <v>26</v>
      </c>
      <c r="D12" s="84">
        <v>0.48</v>
      </c>
      <c r="E12" s="84">
        <v>28</v>
      </c>
      <c r="F12" s="84">
        <v>258</v>
      </c>
      <c r="G12" s="84">
        <v>38</v>
      </c>
      <c r="H12" s="104">
        <v>268</v>
      </c>
      <c r="I12" s="22" t="s">
        <v>7</v>
      </c>
      <c r="J12" s="23">
        <v>0.49</v>
      </c>
      <c r="K12" s="23">
        <v>0.87</v>
      </c>
      <c r="L12" s="24">
        <v>0.63</v>
      </c>
      <c r="V12" s="29" t="s">
        <v>23</v>
      </c>
      <c r="W12" s="9" t="s">
        <v>9</v>
      </c>
      <c r="X12" s="9" t="s">
        <v>10</v>
      </c>
      <c r="Y12" s="9" t="s">
        <v>11</v>
      </c>
      <c r="Z12" s="9" t="s">
        <v>12</v>
      </c>
      <c r="AB12" s="29" t="s">
        <v>23</v>
      </c>
      <c r="AC12" s="9" t="s">
        <v>9</v>
      </c>
      <c r="AD12" s="9" t="s">
        <v>10</v>
      </c>
      <c r="AE12" s="9" t="s">
        <v>11</v>
      </c>
      <c r="AF12" s="9" t="s">
        <v>12</v>
      </c>
    </row>
    <row r="13" spans="2:32" ht="29.4" thickBot="1" x14ac:dyDescent="0.35">
      <c r="B13" s="97"/>
      <c r="C13" s="87"/>
      <c r="D13" s="76"/>
      <c r="E13" s="76"/>
      <c r="F13" s="76"/>
      <c r="G13" s="76"/>
      <c r="H13" s="78"/>
      <c r="I13" s="8" t="s">
        <v>8</v>
      </c>
      <c r="J13" s="17">
        <v>0.42</v>
      </c>
      <c r="K13" s="17">
        <v>0.09</v>
      </c>
      <c r="L13" s="18">
        <v>0.15</v>
      </c>
      <c r="P13" s="29" t="s">
        <v>23</v>
      </c>
      <c r="Q13" s="9" t="s">
        <v>9</v>
      </c>
      <c r="R13" s="9" t="s">
        <v>10</v>
      </c>
      <c r="S13" s="9" t="s">
        <v>11</v>
      </c>
      <c r="T13" s="9" t="s">
        <v>12</v>
      </c>
      <c r="V13" s="69" t="s">
        <v>65</v>
      </c>
      <c r="W13" s="12">
        <v>201</v>
      </c>
      <c r="X13" s="12">
        <v>175</v>
      </c>
      <c r="Y13" s="12">
        <v>121</v>
      </c>
      <c r="Z13" s="13">
        <v>95</v>
      </c>
      <c r="AB13" s="69" t="s">
        <v>65</v>
      </c>
      <c r="AC13" s="12">
        <v>1206</v>
      </c>
      <c r="AD13" s="12">
        <v>64</v>
      </c>
      <c r="AE13" s="12">
        <v>1294</v>
      </c>
      <c r="AF13" s="13">
        <v>152</v>
      </c>
    </row>
    <row r="14" spans="2:32" ht="14.4" customHeight="1" thickBot="1" x14ac:dyDescent="0.35">
      <c r="B14" s="97"/>
      <c r="C14" s="82" t="s">
        <v>13</v>
      </c>
      <c r="D14" s="81">
        <v>0.53</v>
      </c>
      <c r="E14" s="81">
        <v>836</v>
      </c>
      <c r="F14" s="81">
        <v>383</v>
      </c>
      <c r="G14" s="81">
        <v>975</v>
      </c>
      <c r="H14" s="100">
        <v>522</v>
      </c>
      <c r="I14" s="14" t="s">
        <v>7</v>
      </c>
      <c r="J14" s="15">
        <v>0.52</v>
      </c>
      <c r="K14" s="15">
        <v>1</v>
      </c>
      <c r="L14" s="16">
        <v>0.68</v>
      </c>
      <c r="P14" s="69" t="s">
        <v>24</v>
      </c>
      <c r="Q14" s="12">
        <v>201</v>
      </c>
      <c r="R14" s="12">
        <v>175</v>
      </c>
      <c r="S14" s="12">
        <v>121</v>
      </c>
      <c r="T14" s="13">
        <v>95</v>
      </c>
      <c r="V14" s="68" t="s">
        <v>66</v>
      </c>
      <c r="W14" s="23">
        <v>243</v>
      </c>
      <c r="X14" s="23">
        <v>115</v>
      </c>
      <c r="Y14" s="23">
        <v>181</v>
      </c>
      <c r="Z14" s="24">
        <v>53</v>
      </c>
      <c r="AB14" s="68" t="s">
        <v>66</v>
      </c>
      <c r="AC14" s="12">
        <v>1320</v>
      </c>
      <c r="AD14" s="12">
        <v>8</v>
      </c>
      <c r="AE14" s="12">
        <v>1350</v>
      </c>
      <c r="AF14" s="13">
        <v>38</v>
      </c>
    </row>
    <row r="15" spans="2:32" ht="43.8" thickBot="1" x14ac:dyDescent="0.35">
      <c r="B15" s="101"/>
      <c r="C15" s="85"/>
      <c r="D15" s="86"/>
      <c r="E15" s="86"/>
      <c r="F15" s="86"/>
      <c r="G15" s="86"/>
      <c r="H15" s="99"/>
      <c r="I15" s="19" t="s">
        <v>8</v>
      </c>
      <c r="J15" s="20">
        <v>0.99</v>
      </c>
      <c r="K15" s="20">
        <v>0.06</v>
      </c>
      <c r="L15" s="21">
        <v>0.12</v>
      </c>
      <c r="P15" s="69" t="s">
        <v>24</v>
      </c>
      <c r="Q15" s="17"/>
      <c r="R15" s="17"/>
      <c r="S15" s="17"/>
      <c r="T15" s="18"/>
      <c r="V15" s="68" t="s">
        <v>67</v>
      </c>
      <c r="W15" s="23">
        <v>28</v>
      </c>
      <c r="X15" s="23">
        <v>258</v>
      </c>
      <c r="Y15" s="23">
        <v>38</v>
      </c>
      <c r="Z15" s="24">
        <v>268</v>
      </c>
      <c r="AB15" s="68" t="s">
        <v>67</v>
      </c>
      <c r="AC15" s="12">
        <v>836</v>
      </c>
      <c r="AD15" s="12">
        <v>383</v>
      </c>
      <c r="AE15" s="12">
        <v>975</v>
      </c>
      <c r="AF15" s="13">
        <v>522</v>
      </c>
    </row>
    <row r="16" spans="2:32" x14ac:dyDescent="0.3">
      <c r="B16" s="102" t="s">
        <v>29</v>
      </c>
      <c r="C16" s="93" t="s">
        <v>6</v>
      </c>
      <c r="D16" s="84">
        <v>0.55000000000000004</v>
      </c>
      <c r="E16" s="84">
        <v>167</v>
      </c>
      <c r="F16" s="84">
        <v>158</v>
      </c>
      <c r="G16" s="84">
        <v>138</v>
      </c>
      <c r="H16" s="104">
        <v>129</v>
      </c>
      <c r="I16" s="14" t="s">
        <v>7</v>
      </c>
      <c r="J16" s="15">
        <v>0.53</v>
      </c>
      <c r="K16" s="15">
        <v>0.55000000000000004</v>
      </c>
      <c r="L16" s="16">
        <v>0.54</v>
      </c>
      <c r="P16" s="69" t="s">
        <v>24</v>
      </c>
      <c r="Q16" s="12">
        <v>1206</v>
      </c>
      <c r="R16" s="12">
        <v>64</v>
      </c>
      <c r="S16" s="12">
        <v>1294</v>
      </c>
      <c r="T16" s="13">
        <v>152</v>
      </c>
      <c r="V16" s="68" t="s">
        <v>29</v>
      </c>
      <c r="W16" s="23">
        <v>167</v>
      </c>
      <c r="X16" s="23">
        <v>158</v>
      </c>
      <c r="Y16" s="23">
        <v>138</v>
      </c>
      <c r="Z16" s="24">
        <v>129</v>
      </c>
      <c r="AB16" s="68" t="s">
        <v>29</v>
      </c>
      <c r="AC16" s="12">
        <v>1139</v>
      </c>
      <c r="AD16" s="12">
        <v>76</v>
      </c>
      <c r="AE16" s="12">
        <v>1282</v>
      </c>
      <c r="AF16" s="13">
        <v>219</v>
      </c>
    </row>
    <row r="17" spans="2:22" ht="15" thickBot="1" x14ac:dyDescent="0.35">
      <c r="B17" s="97"/>
      <c r="C17" s="87"/>
      <c r="D17" s="76"/>
      <c r="E17" s="76"/>
      <c r="F17" s="76"/>
      <c r="G17" s="76"/>
      <c r="H17" s="78"/>
      <c r="I17" s="8" t="s">
        <v>8</v>
      </c>
      <c r="J17" s="17">
        <v>0.56000000000000005</v>
      </c>
      <c r="K17" s="17">
        <v>0.55000000000000004</v>
      </c>
      <c r="L17" s="18">
        <v>0.56000000000000005</v>
      </c>
      <c r="P17" s="69" t="s">
        <v>24</v>
      </c>
      <c r="Q17" s="20"/>
      <c r="R17" s="20"/>
      <c r="S17" s="20"/>
      <c r="T17" s="21"/>
    </row>
    <row r="18" spans="2:22" ht="14.4" customHeight="1" thickBot="1" x14ac:dyDescent="0.35">
      <c r="B18" s="97"/>
      <c r="C18" s="82" t="s">
        <v>13</v>
      </c>
      <c r="D18" s="81">
        <v>0.45</v>
      </c>
      <c r="E18" s="81">
        <v>1139</v>
      </c>
      <c r="F18" s="81">
        <v>76</v>
      </c>
      <c r="G18" s="81">
        <v>1282</v>
      </c>
      <c r="H18" s="100">
        <v>219</v>
      </c>
      <c r="I18" s="14" t="s">
        <v>7</v>
      </c>
      <c r="J18" s="15">
        <v>0.06</v>
      </c>
      <c r="K18" s="15">
        <v>0.26</v>
      </c>
      <c r="L18" s="16">
        <v>0.09</v>
      </c>
      <c r="P18" s="68" t="s">
        <v>27</v>
      </c>
      <c r="Q18" s="23">
        <v>243</v>
      </c>
      <c r="R18" s="23">
        <v>115</v>
      </c>
      <c r="S18" s="23">
        <v>181</v>
      </c>
      <c r="T18" s="24">
        <v>53</v>
      </c>
    </row>
    <row r="19" spans="2:22" ht="15" thickBot="1" x14ac:dyDescent="0.35">
      <c r="B19" s="98"/>
      <c r="C19" s="87"/>
      <c r="D19" s="76"/>
      <c r="E19" s="76"/>
      <c r="F19" s="76"/>
      <c r="G19" s="76"/>
      <c r="H19" s="78"/>
      <c r="I19" s="8" t="s">
        <v>8</v>
      </c>
      <c r="J19" s="17">
        <v>0.84</v>
      </c>
      <c r="K19" s="17">
        <v>0.47</v>
      </c>
      <c r="L19" s="18">
        <v>0.6</v>
      </c>
      <c r="P19" s="68" t="s">
        <v>27</v>
      </c>
      <c r="Q19" s="17"/>
      <c r="R19" s="17"/>
      <c r="S19" s="17"/>
      <c r="T19" s="18"/>
    </row>
    <row r="20" spans="2:22" ht="15" thickBot="1" x14ac:dyDescent="0.35">
      <c r="P20" s="68" t="s">
        <v>27</v>
      </c>
      <c r="Q20" s="12">
        <v>1320</v>
      </c>
      <c r="R20" s="12">
        <v>8</v>
      </c>
      <c r="S20" s="12">
        <v>1350</v>
      </c>
      <c r="T20" s="13">
        <v>38</v>
      </c>
    </row>
    <row r="21" spans="2:22" ht="15" thickBot="1" x14ac:dyDescent="0.35">
      <c r="P21" s="68" t="s">
        <v>27</v>
      </c>
      <c r="Q21" s="20"/>
      <c r="R21" s="20"/>
      <c r="S21" s="20"/>
      <c r="T21" s="21"/>
    </row>
    <row r="22" spans="2:22" ht="14.4" customHeight="1" thickBot="1" x14ac:dyDescent="0.35">
      <c r="P22" s="68" t="s">
        <v>28</v>
      </c>
      <c r="Q22" s="23">
        <v>28</v>
      </c>
      <c r="R22" s="23">
        <v>258</v>
      </c>
      <c r="S22" s="23">
        <v>38</v>
      </c>
      <c r="T22" s="24">
        <v>268</v>
      </c>
    </row>
    <row r="23" spans="2:22" ht="15" thickBot="1" x14ac:dyDescent="0.35">
      <c r="P23" s="68" t="s">
        <v>28</v>
      </c>
      <c r="Q23" s="17"/>
      <c r="R23" s="17"/>
      <c r="S23" s="17"/>
      <c r="T23" s="18"/>
    </row>
    <row r="24" spans="2:22" ht="15" thickBot="1" x14ac:dyDescent="0.35">
      <c r="P24" s="68" t="s">
        <v>28</v>
      </c>
      <c r="Q24" s="12">
        <v>836</v>
      </c>
      <c r="R24" s="12">
        <v>383</v>
      </c>
      <c r="S24" s="12">
        <v>975</v>
      </c>
      <c r="T24" s="13">
        <v>522</v>
      </c>
    </row>
    <row r="25" spans="2:22" ht="15" thickBot="1" x14ac:dyDescent="0.35">
      <c r="P25" s="68" t="s">
        <v>28</v>
      </c>
      <c r="Q25" s="20"/>
      <c r="R25" s="20"/>
      <c r="S25" s="20"/>
      <c r="T25" s="21"/>
    </row>
    <row r="26" spans="2:22" ht="15" thickBot="1" x14ac:dyDescent="0.35">
      <c r="P26" s="68" t="s">
        <v>29</v>
      </c>
      <c r="Q26" s="23">
        <v>167</v>
      </c>
      <c r="R26" s="23">
        <v>158</v>
      </c>
      <c r="S26" s="23">
        <v>138</v>
      </c>
      <c r="T26" s="24">
        <v>129</v>
      </c>
    </row>
    <row r="27" spans="2:22" ht="15" thickBot="1" x14ac:dyDescent="0.35">
      <c r="P27" s="68" t="s">
        <v>29</v>
      </c>
      <c r="Q27" s="17"/>
      <c r="R27" s="17"/>
      <c r="S27" s="17"/>
      <c r="T27" s="18"/>
    </row>
    <row r="28" spans="2:22" ht="15" thickBot="1" x14ac:dyDescent="0.35">
      <c r="P28" s="68" t="s">
        <v>29</v>
      </c>
      <c r="Q28" s="12">
        <v>1139</v>
      </c>
      <c r="R28" s="12">
        <v>76</v>
      </c>
      <c r="S28" s="12">
        <v>1282</v>
      </c>
      <c r="T28" s="13">
        <v>219</v>
      </c>
    </row>
    <row r="29" spans="2:22" x14ac:dyDescent="0.3">
      <c r="P29" s="68" t="s">
        <v>29</v>
      </c>
      <c r="Q29" s="8"/>
      <c r="R29" s="17"/>
      <c r="S29" s="17"/>
      <c r="T29" s="17"/>
      <c r="U29" s="17"/>
      <c r="V29" s="18"/>
    </row>
  </sheetData>
  <mergeCells count="52">
    <mergeCell ref="D16:D17"/>
    <mergeCell ref="E16:E17"/>
    <mergeCell ref="F16:F17"/>
    <mergeCell ref="G16:G17"/>
    <mergeCell ref="H16:H17"/>
    <mergeCell ref="D18:D19"/>
    <mergeCell ref="E18:E19"/>
    <mergeCell ref="F18:F19"/>
    <mergeCell ref="G18:G19"/>
    <mergeCell ref="H18:H19"/>
    <mergeCell ref="D12:D13"/>
    <mergeCell ref="E12:E13"/>
    <mergeCell ref="F12:F13"/>
    <mergeCell ref="G12:G13"/>
    <mergeCell ref="H12:H13"/>
    <mergeCell ref="D14:D15"/>
    <mergeCell ref="E14:E15"/>
    <mergeCell ref="F14:F15"/>
    <mergeCell ref="G14:G15"/>
    <mergeCell ref="H14:H15"/>
    <mergeCell ref="D10:D11"/>
    <mergeCell ref="E10:E11"/>
    <mergeCell ref="F10:F11"/>
    <mergeCell ref="G10:G11"/>
    <mergeCell ref="H10:H11"/>
    <mergeCell ref="B12:B15"/>
    <mergeCell ref="C12:C13"/>
    <mergeCell ref="C14:C15"/>
    <mergeCell ref="B16:B19"/>
    <mergeCell ref="C16:C17"/>
    <mergeCell ref="C18:C19"/>
    <mergeCell ref="H4:H5"/>
    <mergeCell ref="C6:C7"/>
    <mergeCell ref="B8:B11"/>
    <mergeCell ref="C8:C9"/>
    <mergeCell ref="C10:C11"/>
    <mergeCell ref="D8:D9"/>
    <mergeCell ref="E8:E9"/>
    <mergeCell ref="F8:F9"/>
    <mergeCell ref="G8:G9"/>
    <mergeCell ref="D6:D7"/>
    <mergeCell ref="E6:E7"/>
    <mergeCell ref="F6:F7"/>
    <mergeCell ref="G6:G7"/>
    <mergeCell ref="H6:H7"/>
    <mergeCell ref="B4:B7"/>
    <mergeCell ref="H8:H9"/>
    <mergeCell ref="C4:C5"/>
    <mergeCell ref="D4:D5"/>
    <mergeCell ref="E4:E5"/>
    <mergeCell ref="F4:F5"/>
    <mergeCell ref="G4:G5"/>
  </mergeCells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490A-11BB-4D0C-BC78-98BF72D90FD8}">
  <dimension ref="B5:AB40"/>
  <sheetViews>
    <sheetView zoomScale="80" zoomScaleNormal="90" workbookViewId="0">
      <selection activeCell="AB18" sqref="AB18"/>
    </sheetView>
  </sheetViews>
  <sheetFormatPr baseColWidth="10" defaultRowHeight="14.4" x14ac:dyDescent="0.3"/>
  <cols>
    <col min="2" max="2" width="21.6640625" customWidth="1"/>
    <col min="3" max="3" width="14.5546875" bestFit="1" customWidth="1"/>
    <col min="4" max="4" width="13.88671875" customWidth="1"/>
    <col min="10" max="10" width="14.109375" customWidth="1"/>
    <col min="12" max="12" width="12.77734375" customWidth="1"/>
  </cols>
  <sheetData>
    <row r="5" spans="2:27" x14ac:dyDescent="0.3">
      <c r="B5" s="32" t="s">
        <v>33</v>
      </c>
      <c r="C5" s="33" t="s">
        <v>0</v>
      </c>
      <c r="D5" s="34" t="s">
        <v>1</v>
      </c>
      <c r="E5" s="34" t="s">
        <v>9</v>
      </c>
      <c r="F5" s="34" t="s">
        <v>10</v>
      </c>
      <c r="G5" s="34" t="s">
        <v>11</v>
      </c>
      <c r="H5" s="34" t="s">
        <v>12</v>
      </c>
      <c r="I5" s="34" t="s">
        <v>2</v>
      </c>
      <c r="J5" s="34" t="s">
        <v>3</v>
      </c>
      <c r="K5" s="34" t="s">
        <v>4</v>
      </c>
      <c r="L5" s="35" t="s">
        <v>5</v>
      </c>
    </row>
    <row r="6" spans="2:27" ht="27.6" x14ac:dyDescent="0.3">
      <c r="B6" s="30" t="s">
        <v>30</v>
      </c>
      <c r="C6" s="2" t="s">
        <v>6</v>
      </c>
      <c r="D6" s="1">
        <v>0.61</v>
      </c>
      <c r="E6" s="1">
        <v>216</v>
      </c>
      <c r="F6" s="1">
        <v>148</v>
      </c>
      <c r="G6" s="1">
        <v>148</v>
      </c>
      <c r="H6" s="1">
        <v>80</v>
      </c>
      <c r="I6" s="14" t="s">
        <v>7</v>
      </c>
      <c r="J6" s="15">
        <v>0.65</v>
      </c>
      <c r="K6" s="15">
        <v>0.5</v>
      </c>
      <c r="L6" s="15">
        <v>0.56000000000000005</v>
      </c>
      <c r="N6" s="55" t="s">
        <v>33</v>
      </c>
      <c r="O6" s="56" t="s">
        <v>0</v>
      </c>
      <c r="P6" s="57" t="s">
        <v>1</v>
      </c>
      <c r="Q6" s="58" t="s">
        <v>2</v>
      </c>
      <c r="R6" s="56" t="s">
        <v>3</v>
      </c>
      <c r="S6" s="56" t="s">
        <v>4</v>
      </c>
      <c r="T6" s="56" t="s">
        <v>5</v>
      </c>
    </row>
    <row r="7" spans="2:27" x14ac:dyDescent="0.3">
      <c r="B7" s="30"/>
      <c r="C7" s="3"/>
      <c r="D7" s="4"/>
      <c r="E7" s="4"/>
      <c r="F7" s="4"/>
      <c r="G7" s="4"/>
      <c r="H7" s="4"/>
      <c r="I7" s="8" t="s">
        <v>8</v>
      </c>
      <c r="J7" s="17">
        <v>0.59</v>
      </c>
      <c r="K7" s="17">
        <v>0.73</v>
      </c>
      <c r="L7" s="17">
        <v>0.65</v>
      </c>
      <c r="N7" s="106" t="s">
        <v>30</v>
      </c>
      <c r="O7" s="106" t="s">
        <v>6</v>
      </c>
      <c r="P7" s="109">
        <v>0.61</v>
      </c>
      <c r="Q7" s="62" t="s">
        <v>7</v>
      </c>
      <c r="R7" s="60">
        <v>0.65</v>
      </c>
      <c r="S7" s="60">
        <v>0.5</v>
      </c>
      <c r="T7" s="60">
        <v>0.56000000000000005</v>
      </c>
    </row>
    <row r="8" spans="2:27" x14ac:dyDescent="0.3">
      <c r="B8" s="30"/>
      <c r="C8" s="2" t="s">
        <v>13</v>
      </c>
      <c r="D8" s="1">
        <v>0.44</v>
      </c>
      <c r="E8" s="1">
        <v>1152</v>
      </c>
      <c r="F8" s="1">
        <v>64</v>
      </c>
      <c r="G8" s="1">
        <v>1294</v>
      </c>
      <c r="H8" s="1">
        <v>206</v>
      </c>
      <c r="I8" s="14" t="s">
        <v>7</v>
      </c>
      <c r="J8" s="15">
        <v>0.23</v>
      </c>
      <c r="K8" s="15">
        <v>0.05</v>
      </c>
      <c r="L8" s="15">
        <v>0.08</v>
      </c>
      <c r="N8" s="107"/>
      <c r="O8" s="107"/>
      <c r="P8" s="110"/>
      <c r="Q8" s="63" t="s">
        <v>8</v>
      </c>
      <c r="R8" s="59">
        <v>0.59</v>
      </c>
      <c r="S8" s="59">
        <v>0.73</v>
      </c>
      <c r="T8" s="59">
        <v>0.65</v>
      </c>
    </row>
    <row r="9" spans="2:27" ht="15" thickBot="1" x14ac:dyDescent="0.35">
      <c r="B9" s="31"/>
      <c r="C9" s="6"/>
      <c r="D9" s="7"/>
      <c r="E9" s="7"/>
      <c r="F9" s="7"/>
      <c r="G9" s="7"/>
      <c r="H9" s="7"/>
      <c r="I9" s="19" t="s">
        <v>8</v>
      </c>
      <c r="J9" s="20">
        <v>0.5</v>
      </c>
      <c r="K9" s="20">
        <v>0.85</v>
      </c>
      <c r="L9" s="20">
        <v>0.6</v>
      </c>
      <c r="N9" s="107"/>
      <c r="O9" s="107" t="s">
        <v>13</v>
      </c>
      <c r="P9" s="110">
        <v>0.44</v>
      </c>
      <c r="Q9" s="63" t="s">
        <v>7</v>
      </c>
      <c r="R9" s="59">
        <v>0.23</v>
      </c>
      <c r="S9" s="59">
        <v>0.05</v>
      </c>
      <c r="T9" s="59">
        <v>0.08</v>
      </c>
    </row>
    <row r="10" spans="2:27" ht="14.4" customHeight="1" x14ac:dyDescent="0.3">
      <c r="B10" s="30" t="s">
        <v>31</v>
      </c>
      <c r="C10" s="2" t="s">
        <v>6</v>
      </c>
      <c r="D10" s="1">
        <v>0.76</v>
      </c>
      <c r="E10" s="1">
        <v>242</v>
      </c>
      <c r="F10" s="1">
        <v>209</v>
      </c>
      <c r="G10" s="1">
        <v>54</v>
      </c>
      <c r="H10" s="1">
        <v>87</v>
      </c>
      <c r="I10" s="14" t="s">
        <v>7</v>
      </c>
      <c r="J10" s="15">
        <v>0.73</v>
      </c>
      <c r="K10" s="15">
        <v>0.82</v>
      </c>
      <c r="L10" s="15">
        <v>0.77</v>
      </c>
      <c r="N10" s="108"/>
      <c r="O10" s="108"/>
      <c r="P10" s="111"/>
      <c r="Q10" s="65" t="s">
        <v>8</v>
      </c>
      <c r="R10" s="66">
        <v>0.5</v>
      </c>
      <c r="S10" s="66">
        <v>0.85</v>
      </c>
      <c r="T10" s="66">
        <v>0.6</v>
      </c>
    </row>
    <row r="11" spans="2:27" x14ac:dyDescent="0.3">
      <c r="B11" s="30"/>
      <c r="C11" s="3"/>
      <c r="D11" s="4"/>
      <c r="E11" s="4"/>
      <c r="F11" s="4"/>
      <c r="G11" s="4"/>
      <c r="H11" s="4"/>
      <c r="I11" s="8" t="s">
        <v>8</v>
      </c>
      <c r="J11" s="17">
        <v>0.8</v>
      </c>
      <c r="K11" s="17">
        <v>0.7</v>
      </c>
      <c r="L11" s="17">
        <v>0.75</v>
      </c>
      <c r="N11" s="106" t="s">
        <v>64</v>
      </c>
      <c r="O11" s="106" t="s">
        <v>6</v>
      </c>
      <c r="P11" s="109">
        <v>0.64</v>
      </c>
      <c r="Q11" s="62" t="s">
        <v>7</v>
      </c>
      <c r="R11" s="60">
        <v>0.65</v>
      </c>
      <c r="S11" s="60">
        <v>0.59</v>
      </c>
      <c r="T11" s="60">
        <v>0.62</v>
      </c>
    </row>
    <row r="12" spans="2:27" x14ac:dyDescent="0.3">
      <c r="B12" s="30"/>
      <c r="C12" s="2" t="s">
        <v>13</v>
      </c>
      <c r="D12" s="1">
        <v>0.79</v>
      </c>
      <c r="E12" s="1">
        <v>1107</v>
      </c>
      <c r="F12" s="1">
        <v>1053</v>
      </c>
      <c r="G12" s="1">
        <v>305</v>
      </c>
      <c r="H12" s="1">
        <v>251</v>
      </c>
      <c r="I12" s="14" t="s">
        <v>7</v>
      </c>
      <c r="J12" s="15">
        <v>0.8</v>
      </c>
      <c r="K12" s="15">
        <v>0.78</v>
      </c>
      <c r="L12" s="15">
        <v>0.8</v>
      </c>
      <c r="N12" s="107"/>
      <c r="O12" s="107"/>
      <c r="P12" s="110"/>
      <c r="Q12" s="63" t="s">
        <v>8</v>
      </c>
      <c r="R12" s="59">
        <v>0.62</v>
      </c>
      <c r="S12" s="59">
        <v>0.68</v>
      </c>
      <c r="T12" s="59">
        <v>0.65</v>
      </c>
      <c r="AA12" s="5"/>
    </row>
    <row r="13" spans="2:27" x14ac:dyDescent="0.3">
      <c r="B13" s="30"/>
      <c r="C13" s="2"/>
      <c r="D13" s="1"/>
      <c r="E13" s="1"/>
      <c r="F13" s="1"/>
      <c r="G13" s="1"/>
      <c r="H13" s="1"/>
      <c r="I13" s="14" t="s">
        <v>8</v>
      </c>
      <c r="J13" s="15">
        <v>0.78</v>
      </c>
      <c r="K13" s="15">
        <v>0.81</v>
      </c>
      <c r="L13" s="15">
        <v>0.8</v>
      </c>
      <c r="N13" s="107"/>
      <c r="O13" s="107" t="s">
        <v>13</v>
      </c>
      <c r="P13" s="110">
        <v>0.43</v>
      </c>
      <c r="Q13" s="63" t="s">
        <v>7</v>
      </c>
      <c r="R13" s="59">
        <v>0.3</v>
      </c>
      <c r="S13" s="59">
        <v>0.05</v>
      </c>
      <c r="T13" s="59">
        <v>0.08</v>
      </c>
    </row>
    <row r="14" spans="2:27" x14ac:dyDescent="0.3">
      <c r="N14" s="107"/>
      <c r="O14" s="107"/>
      <c r="P14" s="110"/>
      <c r="Q14" s="63" t="s">
        <v>8</v>
      </c>
      <c r="R14" s="59">
        <v>0.48</v>
      </c>
      <c r="S14" s="59">
        <v>0.89</v>
      </c>
      <c r="T14" s="59">
        <v>0.63</v>
      </c>
    </row>
    <row r="16" spans="2:27" x14ac:dyDescent="0.3">
      <c r="C16" s="74"/>
      <c r="D16" s="74"/>
      <c r="E16" s="74"/>
      <c r="F16" s="74"/>
      <c r="G16" s="74"/>
      <c r="H16" s="74"/>
      <c r="I16" s="15"/>
      <c r="J16" s="15"/>
      <c r="K16" s="15"/>
      <c r="L16" s="15"/>
    </row>
    <row r="17" spans="2:28" x14ac:dyDescent="0.3">
      <c r="C17" s="74"/>
      <c r="D17" s="74"/>
      <c r="E17" s="74"/>
      <c r="F17" s="74"/>
      <c r="G17" s="74"/>
      <c r="H17" s="74"/>
      <c r="I17" s="15"/>
      <c r="J17" s="15"/>
      <c r="K17" s="15"/>
      <c r="L17" s="15"/>
      <c r="AB17" s="5"/>
    </row>
    <row r="19" spans="2:28" x14ac:dyDescent="0.3">
      <c r="C19" s="54" t="s">
        <v>0</v>
      </c>
      <c r="D19" s="9" t="s">
        <v>1</v>
      </c>
      <c r="E19" s="9" t="s">
        <v>9</v>
      </c>
      <c r="F19" s="9" t="s">
        <v>10</v>
      </c>
      <c r="G19" s="9" t="s">
        <v>11</v>
      </c>
      <c r="H19" s="9" t="s">
        <v>12</v>
      </c>
      <c r="I19" s="9" t="s">
        <v>2</v>
      </c>
      <c r="J19" s="9" t="s">
        <v>3</v>
      </c>
      <c r="K19" s="9" t="s">
        <v>4</v>
      </c>
      <c r="L19" s="9" t="s">
        <v>5</v>
      </c>
    </row>
    <row r="20" spans="2:28" x14ac:dyDescent="0.3">
      <c r="B20" s="105" t="s">
        <v>63</v>
      </c>
      <c r="C20" s="81" t="s">
        <v>34</v>
      </c>
      <c r="D20" s="81">
        <v>0.61</v>
      </c>
      <c r="E20" s="81">
        <v>13</v>
      </c>
      <c r="F20" s="81">
        <v>3</v>
      </c>
      <c r="G20" s="81">
        <v>10</v>
      </c>
      <c r="H20" s="100">
        <v>0</v>
      </c>
      <c r="I20" s="14" t="s">
        <v>7</v>
      </c>
      <c r="J20" s="15">
        <v>1</v>
      </c>
      <c r="K20" s="15">
        <v>0.2</v>
      </c>
      <c r="L20" s="16">
        <v>0.37</v>
      </c>
    </row>
    <row r="21" spans="2:28" x14ac:dyDescent="0.3">
      <c r="B21" s="105"/>
      <c r="C21" s="76"/>
      <c r="D21" s="76"/>
      <c r="E21" s="76"/>
      <c r="F21" s="76"/>
      <c r="G21" s="76"/>
      <c r="H21" s="78"/>
      <c r="I21" s="8" t="s">
        <v>8</v>
      </c>
      <c r="J21" s="17">
        <v>0.56000000000000005</v>
      </c>
      <c r="K21" s="17">
        <v>1</v>
      </c>
      <c r="L21" s="18">
        <v>0.7</v>
      </c>
    </row>
    <row r="22" spans="2:28" x14ac:dyDescent="0.3">
      <c r="B22" s="105"/>
      <c r="C22" s="81" t="s">
        <v>35</v>
      </c>
      <c r="D22" s="81">
        <v>0.5</v>
      </c>
      <c r="E22" s="81">
        <v>26</v>
      </c>
      <c r="F22" s="81">
        <v>0</v>
      </c>
      <c r="G22" s="81">
        <v>26</v>
      </c>
      <c r="H22" s="100">
        <v>0</v>
      </c>
      <c r="I22" s="14" t="s">
        <v>7</v>
      </c>
      <c r="J22" s="15">
        <v>0</v>
      </c>
      <c r="K22" s="15">
        <v>0</v>
      </c>
      <c r="L22" s="16">
        <v>0</v>
      </c>
      <c r="N22" s="112" t="s">
        <v>33</v>
      </c>
      <c r="O22" s="112"/>
      <c r="P22" s="56" t="s">
        <v>0</v>
      </c>
      <c r="Q22" s="57" t="s">
        <v>1</v>
      </c>
      <c r="R22" s="58" t="s">
        <v>2</v>
      </c>
      <c r="S22" s="56" t="s">
        <v>3</v>
      </c>
      <c r="T22" s="56" t="s">
        <v>4</v>
      </c>
      <c r="U22" s="56" t="s">
        <v>5</v>
      </c>
    </row>
    <row r="23" spans="2:28" ht="15" thickBot="1" x14ac:dyDescent="0.35">
      <c r="B23" s="105"/>
      <c r="C23" s="86"/>
      <c r="D23" s="86"/>
      <c r="E23" s="86"/>
      <c r="F23" s="86"/>
      <c r="G23" s="86"/>
      <c r="H23" s="99"/>
      <c r="I23" s="8" t="s">
        <v>8</v>
      </c>
      <c r="J23" s="20">
        <v>0.5</v>
      </c>
      <c r="K23" s="20">
        <v>1</v>
      </c>
      <c r="L23" s="21">
        <v>0.6</v>
      </c>
      <c r="N23" s="106" t="s">
        <v>31</v>
      </c>
      <c r="O23" s="106" t="s">
        <v>6</v>
      </c>
      <c r="P23" s="106"/>
      <c r="Q23" s="109">
        <v>0.76</v>
      </c>
      <c r="R23" s="62" t="s">
        <v>7</v>
      </c>
      <c r="S23" s="60">
        <v>0.73</v>
      </c>
      <c r="T23" s="60">
        <v>0.82</v>
      </c>
      <c r="U23" s="60">
        <v>0.77</v>
      </c>
    </row>
    <row r="24" spans="2:28" x14ac:dyDescent="0.3">
      <c r="C24" s="54" t="s">
        <v>0</v>
      </c>
      <c r="D24" s="9" t="s">
        <v>1</v>
      </c>
      <c r="E24" s="9" t="s">
        <v>9</v>
      </c>
      <c r="F24" s="9" t="s">
        <v>10</v>
      </c>
      <c r="G24" s="9" t="s">
        <v>11</v>
      </c>
      <c r="H24" s="9" t="s">
        <v>12</v>
      </c>
      <c r="I24" s="9" t="s">
        <v>2</v>
      </c>
      <c r="J24" s="9" t="s">
        <v>3</v>
      </c>
      <c r="K24" s="9" t="s">
        <v>4</v>
      </c>
      <c r="L24" s="9" t="s">
        <v>5</v>
      </c>
      <c r="N24" s="107"/>
      <c r="O24" s="107"/>
      <c r="P24" s="107"/>
      <c r="Q24" s="110"/>
      <c r="R24" s="63" t="s">
        <v>8</v>
      </c>
      <c r="S24" s="59">
        <v>0.8</v>
      </c>
      <c r="T24" s="59">
        <v>0.7</v>
      </c>
      <c r="U24" s="59">
        <v>0.75</v>
      </c>
    </row>
    <row r="25" spans="2:28" x14ac:dyDescent="0.3">
      <c r="C25" s="81" t="s">
        <v>61</v>
      </c>
      <c r="D25" s="81">
        <v>0.48</v>
      </c>
      <c r="E25" s="81">
        <v>20</v>
      </c>
      <c r="F25" s="81">
        <v>2</v>
      </c>
      <c r="G25" s="81">
        <v>21</v>
      </c>
      <c r="H25" s="100">
        <v>3</v>
      </c>
      <c r="I25" s="14" t="s">
        <v>7</v>
      </c>
      <c r="J25" s="15">
        <v>0.4</v>
      </c>
      <c r="K25" s="15">
        <v>0.08</v>
      </c>
      <c r="L25" s="16">
        <v>0.14000000000000001</v>
      </c>
      <c r="N25" s="107"/>
      <c r="O25" s="107" t="s">
        <v>13</v>
      </c>
      <c r="P25" s="107"/>
      <c r="Q25" s="110">
        <v>0.79</v>
      </c>
      <c r="R25" s="63" t="s">
        <v>7</v>
      </c>
      <c r="S25" s="59">
        <v>0.8</v>
      </c>
      <c r="T25" s="59">
        <v>0.78</v>
      </c>
      <c r="U25" s="59">
        <v>0.8</v>
      </c>
    </row>
    <row r="26" spans="2:28" x14ac:dyDescent="0.3">
      <c r="C26" s="76"/>
      <c r="D26" s="76"/>
      <c r="E26" s="76"/>
      <c r="F26" s="76"/>
      <c r="G26" s="76"/>
      <c r="H26" s="78"/>
      <c r="I26" s="8" t="s">
        <v>8</v>
      </c>
      <c r="J26" s="17">
        <v>0.48</v>
      </c>
      <c r="K26" s="17">
        <v>0.87</v>
      </c>
      <c r="L26" s="18">
        <v>0.62</v>
      </c>
      <c r="N26" s="108"/>
      <c r="O26" s="108"/>
      <c r="P26" s="108"/>
      <c r="Q26" s="111"/>
      <c r="R26" s="65" t="s">
        <v>8</v>
      </c>
      <c r="S26" s="66">
        <v>0.78</v>
      </c>
      <c r="T26" s="66">
        <v>0.81</v>
      </c>
      <c r="U26" s="66">
        <v>0.8</v>
      </c>
    </row>
    <row r="27" spans="2:28" x14ac:dyDescent="0.3">
      <c r="C27" s="81" t="s">
        <v>62</v>
      </c>
      <c r="D27" s="81">
        <v>0.8</v>
      </c>
      <c r="E27" s="81">
        <v>695</v>
      </c>
      <c r="F27" s="81">
        <v>907</v>
      </c>
      <c r="G27" s="81">
        <v>91</v>
      </c>
      <c r="H27" s="100">
        <v>303</v>
      </c>
      <c r="I27" s="14" t="s">
        <v>7</v>
      </c>
      <c r="J27" s="15">
        <v>0.75</v>
      </c>
      <c r="K27" s="15">
        <v>0.91</v>
      </c>
      <c r="L27" s="16">
        <v>0.82</v>
      </c>
      <c r="N27" s="60" t="s">
        <v>64</v>
      </c>
      <c r="O27" s="60" t="s">
        <v>6</v>
      </c>
      <c r="P27" s="60"/>
      <c r="Q27" s="61">
        <v>0.64</v>
      </c>
      <c r="R27" s="62" t="s">
        <v>7</v>
      </c>
      <c r="S27" s="60">
        <v>0.65</v>
      </c>
      <c r="T27" s="60">
        <v>0.59</v>
      </c>
      <c r="U27" s="60">
        <v>0.62</v>
      </c>
    </row>
    <row r="28" spans="2:28" ht="15" thickBot="1" x14ac:dyDescent="0.35">
      <c r="C28" s="86"/>
      <c r="D28" s="86"/>
      <c r="E28" s="86"/>
      <c r="F28" s="86"/>
      <c r="G28" s="86"/>
      <c r="H28" s="99"/>
      <c r="I28" s="8" t="s">
        <v>8</v>
      </c>
      <c r="J28" s="20">
        <v>0.88</v>
      </c>
      <c r="K28" s="20">
        <v>0.7</v>
      </c>
      <c r="L28" s="21">
        <v>0.78</v>
      </c>
      <c r="N28" s="59"/>
      <c r="O28" s="59"/>
      <c r="P28" s="59"/>
      <c r="Q28" s="64"/>
      <c r="R28" s="63" t="s">
        <v>8</v>
      </c>
      <c r="S28" s="59">
        <v>0.62</v>
      </c>
      <c r="T28" s="59">
        <v>0.68</v>
      </c>
      <c r="U28" s="59">
        <v>0.65</v>
      </c>
    </row>
    <row r="29" spans="2:28" x14ac:dyDescent="0.3">
      <c r="N29" s="59"/>
      <c r="O29" s="59" t="s">
        <v>13</v>
      </c>
      <c r="P29" s="59"/>
      <c r="Q29" s="64">
        <v>0.43</v>
      </c>
      <c r="R29" s="63" t="s">
        <v>7</v>
      </c>
      <c r="S29" s="59">
        <v>0.3</v>
      </c>
      <c r="T29" s="59">
        <v>0.05</v>
      </c>
      <c r="U29" s="59">
        <v>0.08</v>
      </c>
    </row>
    <row r="30" spans="2:28" x14ac:dyDescent="0.3">
      <c r="N30" s="59"/>
      <c r="O30" s="59"/>
      <c r="P30" s="59"/>
      <c r="Q30" s="64"/>
      <c r="R30" s="63" t="s">
        <v>8</v>
      </c>
      <c r="S30" s="59">
        <v>0.48</v>
      </c>
      <c r="T30" s="59">
        <v>0.89</v>
      </c>
      <c r="U30" s="59">
        <v>0.63</v>
      </c>
    </row>
    <row r="31" spans="2:28" x14ac:dyDescent="0.3">
      <c r="C31" s="67"/>
      <c r="D31" s="67"/>
      <c r="E31" s="67"/>
      <c r="F31" s="67"/>
      <c r="G31" s="67"/>
      <c r="H31" s="67"/>
    </row>
    <row r="32" spans="2:28" x14ac:dyDescent="0.3">
      <c r="C32" s="67" t="s">
        <v>0</v>
      </c>
      <c r="D32" s="18" t="s">
        <v>1</v>
      </c>
      <c r="E32" s="17" t="s">
        <v>2</v>
      </c>
      <c r="F32" s="17" t="s">
        <v>3</v>
      </c>
      <c r="G32" s="17" t="s">
        <v>4</v>
      </c>
      <c r="H32" s="17" t="s">
        <v>5</v>
      </c>
    </row>
    <row r="33" spans="3:8" x14ac:dyDescent="0.3">
      <c r="C33" s="74" t="s">
        <v>34</v>
      </c>
      <c r="D33" s="77">
        <v>0.61</v>
      </c>
      <c r="E33" s="15" t="s">
        <v>7</v>
      </c>
      <c r="F33" s="15">
        <v>1</v>
      </c>
      <c r="G33" s="15">
        <v>0.2</v>
      </c>
      <c r="H33" s="15">
        <v>0.37</v>
      </c>
    </row>
    <row r="34" spans="3:8" x14ac:dyDescent="0.3">
      <c r="C34" s="74"/>
      <c r="D34" s="77"/>
      <c r="E34" s="15" t="s">
        <v>8</v>
      </c>
      <c r="F34" s="15">
        <v>0.56000000000000005</v>
      </c>
      <c r="G34" s="15">
        <v>1</v>
      </c>
      <c r="H34" s="15">
        <v>0.7</v>
      </c>
    </row>
    <row r="35" spans="3:8" x14ac:dyDescent="0.3">
      <c r="C35" s="74" t="s">
        <v>35</v>
      </c>
      <c r="D35" s="77">
        <v>0.5</v>
      </c>
      <c r="E35" s="15" t="s">
        <v>7</v>
      </c>
      <c r="F35" s="15">
        <v>0</v>
      </c>
      <c r="G35" s="15">
        <v>0</v>
      </c>
      <c r="H35" s="15">
        <v>0</v>
      </c>
    </row>
    <row r="36" spans="3:8" x14ac:dyDescent="0.3">
      <c r="C36" s="76"/>
      <c r="D36" s="78"/>
      <c r="E36" s="17" t="s">
        <v>8</v>
      </c>
      <c r="F36" s="17">
        <v>0.5</v>
      </c>
      <c r="G36" s="17">
        <v>1</v>
      </c>
      <c r="H36" s="17">
        <v>0.6</v>
      </c>
    </row>
    <row r="37" spans="3:8" x14ac:dyDescent="0.3">
      <c r="C37" s="74" t="s">
        <v>61</v>
      </c>
      <c r="D37" s="77">
        <v>0.48</v>
      </c>
      <c r="E37" s="15" t="s">
        <v>7</v>
      </c>
      <c r="F37" s="15">
        <v>0.4</v>
      </c>
      <c r="G37" s="15">
        <v>0.08</v>
      </c>
      <c r="H37" s="15">
        <v>0.14000000000000001</v>
      </c>
    </row>
    <row r="38" spans="3:8" x14ac:dyDescent="0.3">
      <c r="C38" s="74"/>
      <c r="D38" s="77"/>
      <c r="E38" s="15" t="s">
        <v>8</v>
      </c>
      <c r="F38" s="15">
        <v>0.48</v>
      </c>
      <c r="G38" s="15">
        <v>0.87</v>
      </c>
      <c r="H38" s="15">
        <v>0.62</v>
      </c>
    </row>
    <row r="39" spans="3:8" x14ac:dyDescent="0.3">
      <c r="C39" s="74" t="s">
        <v>62</v>
      </c>
      <c r="D39" s="77">
        <v>0.8</v>
      </c>
      <c r="E39" s="15" t="s">
        <v>7</v>
      </c>
      <c r="F39" s="15">
        <v>0.75</v>
      </c>
      <c r="G39" s="15">
        <v>0.91</v>
      </c>
      <c r="H39" s="15">
        <v>0.82</v>
      </c>
    </row>
    <row r="40" spans="3:8" x14ac:dyDescent="0.3">
      <c r="C40" s="74"/>
      <c r="D40" s="77"/>
      <c r="E40" s="15" t="s">
        <v>8</v>
      </c>
      <c r="F40" s="15">
        <v>0.88</v>
      </c>
      <c r="G40" s="15">
        <v>0.7</v>
      </c>
      <c r="H40" s="15">
        <v>0.78</v>
      </c>
    </row>
  </sheetData>
  <mergeCells count="55">
    <mergeCell ref="C39:C40"/>
    <mergeCell ref="D39:D40"/>
    <mergeCell ref="C37:C38"/>
    <mergeCell ref="D37:D38"/>
    <mergeCell ref="C35:C36"/>
    <mergeCell ref="D35:D36"/>
    <mergeCell ref="C33:C34"/>
    <mergeCell ref="D33:D34"/>
    <mergeCell ref="N22:O22"/>
    <mergeCell ref="N23:N26"/>
    <mergeCell ref="O23:P24"/>
    <mergeCell ref="H25:H26"/>
    <mergeCell ref="C27:C28"/>
    <mergeCell ref="D27:D28"/>
    <mergeCell ref="E27:E28"/>
    <mergeCell ref="F27:F28"/>
    <mergeCell ref="G27:G28"/>
    <mergeCell ref="H27:H28"/>
    <mergeCell ref="C25:C26"/>
    <mergeCell ref="D25:D26"/>
    <mergeCell ref="E25:E26"/>
    <mergeCell ref="F25:F26"/>
    <mergeCell ref="Q23:Q24"/>
    <mergeCell ref="O25:P26"/>
    <mergeCell ref="Q25:Q26"/>
    <mergeCell ref="N11:N14"/>
    <mergeCell ref="O11:O12"/>
    <mergeCell ref="P11:P12"/>
    <mergeCell ref="O13:O14"/>
    <mergeCell ref="P13:P14"/>
    <mergeCell ref="N7:N10"/>
    <mergeCell ref="O7:O8"/>
    <mergeCell ref="P7:P8"/>
    <mergeCell ref="O9:O10"/>
    <mergeCell ref="P9:P10"/>
    <mergeCell ref="G25:G26"/>
    <mergeCell ref="G20:G21"/>
    <mergeCell ref="H20:H21"/>
    <mergeCell ref="C22:C23"/>
    <mergeCell ref="D22:D23"/>
    <mergeCell ref="E22:E23"/>
    <mergeCell ref="F22:F23"/>
    <mergeCell ref="G22:G23"/>
    <mergeCell ref="H22:H23"/>
    <mergeCell ref="B20:B23"/>
    <mergeCell ref="C20:C21"/>
    <mergeCell ref="D20:D21"/>
    <mergeCell ref="E20:E21"/>
    <mergeCell ref="F20:F21"/>
    <mergeCell ref="H16:H17"/>
    <mergeCell ref="C16:C17"/>
    <mergeCell ref="D16:D17"/>
    <mergeCell ref="E16:E17"/>
    <mergeCell ref="F16:F17"/>
    <mergeCell ref="G16:G17"/>
  </mergeCells>
  <phoneticPr fontId="3" type="noConversion"/>
  <conditionalFormatting sqref="J18">
    <cfRule type="cellIs" dxfId="14" priority="5" operator="greaterThan">
      <formula>"0.7"</formula>
    </cfRule>
  </conditionalFormatting>
  <conditionalFormatting sqref="J6:L13">
    <cfRule type="cellIs" dxfId="13" priority="1" operator="greaterThan">
      <formula>0.7</formula>
    </cfRule>
    <cfRule type="cellIs" dxfId="12" priority="2" operator="greaterThan">
      <formula>"0.7"</formula>
    </cfRule>
  </conditionalFormatting>
  <conditionalFormatting sqref="L6:L13">
    <cfRule type="cellIs" dxfId="11" priority="3" operator="greaterThan">
      <formula>0.7</formula>
    </cfRule>
    <cfRule type="cellIs" dxfId="10" priority="4" operator="greaterThan">
      <formula>"0.7"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9E77A-7A3C-4890-A0AF-4894E48F4385}">
  <dimension ref="C3:M37"/>
  <sheetViews>
    <sheetView zoomScale="65" workbookViewId="0">
      <selection activeCell="AD59" sqref="AD59"/>
    </sheetView>
  </sheetViews>
  <sheetFormatPr baseColWidth="10" defaultRowHeight="14.4" x14ac:dyDescent="0.3"/>
  <cols>
    <col min="3" max="3" width="23.5546875" customWidth="1"/>
    <col min="4" max="4" width="14" customWidth="1"/>
    <col min="5" max="5" width="12.44140625" bestFit="1" customWidth="1"/>
  </cols>
  <sheetData>
    <row r="3" spans="3:13" x14ac:dyDescent="0.3">
      <c r="C3" t="s">
        <v>37</v>
      </c>
    </row>
    <row r="7" spans="3:13" x14ac:dyDescent="0.3">
      <c r="C7" s="29" t="s">
        <v>23</v>
      </c>
      <c r="D7" s="29" t="s">
        <v>0</v>
      </c>
      <c r="E7" s="9" t="s">
        <v>1</v>
      </c>
      <c r="F7" s="9" t="s">
        <v>9</v>
      </c>
      <c r="G7" s="9" t="s">
        <v>10</v>
      </c>
      <c r="H7" s="9" t="s">
        <v>11</v>
      </c>
      <c r="I7" s="10" t="s">
        <v>12</v>
      </c>
      <c r="J7" s="9" t="s">
        <v>2</v>
      </c>
      <c r="K7" s="9" t="s">
        <v>3</v>
      </c>
      <c r="L7" s="9" t="s">
        <v>4</v>
      </c>
      <c r="M7" s="9" t="s">
        <v>5</v>
      </c>
    </row>
    <row r="8" spans="3:13" x14ac:dyDescent="0.3">
      <c r="C8" s="114" t="s">
        <v>38</v>
      </c>
      <c r="D8" s="74" t="s">
        <v>36</v>
      </c>
      <c r="E8" s="113">
        <v>0.95</v>
      </c>
      <c r="F8" s="74">
        <v>166</v>
      </c>
      <c r="G8" s="74">
        <v>20779</v>
      </c>
      <c r="H8" s="74">
        <v>1144</v>
      </c>
      <c r="I8" s="74">
        <v>28</v>
      </c>
      <c r="J8" s="14" t="s">
        <v>7</v>
      </c>
      <c r="K8" s="15">
        <v>0.99</v>
      </c>
      <c r="L8" s="15">
        <v>0.95</v>
      </c>
      <c r="M8" s="16">
        <v>0.98</v>
      </c>
    </row>
    <row r="9" spans="3:13" x14ac:dyDescent="0.3">
      <c r="C9" s="114"/>
      <c r="D9" s="74"/>
      <c r="E9" s="113"/>
      <c r="F9" s="74"/>
      <c r="G9" s="74"/>
      <c r="H9" s="74"/>
      <c r="I9" s="74"/>
      <c r="J9" s="14" t="s">
        <v>8</v>
      </c>
      <c r="K9" s="15">
        <v>0.13</v>
      </c>
      <c r="L9" s="15">
        <v>0.8</v>
      </c>
      <c r="M9" s="16">
        <v>0.22</v>
      </c>
    </row>
    <row r="10" spans="3:13" x14ac:dyDescent="0.3">
      <c r="C10" s="114"/>
      <c r="D10" s="74" t="s">
        <v>34</v>
      </c>
      <c r="E10" s="113">
        <v>0.6</v>
      </c>
      <c r="F10" s="74">
        <v>9</v>
      </c>
      <c r="G10" s="74">
        <v>1067</v>
      </c>
      <c r="H10" s="74">
        <v>692</v>
      </c>
      <c r="I10" s="74">
        <v>4</v>
      </c>
      <c r="J10" s="14" t="s">
        <v>7</v>
      </c>
      <c r="K10" s="15">
        <v>0.99</v>
      </c>
      <c r="L10" s="15">
        <v>0.6</v>
      </c>
      <c r="M10" s="16">
        <v>0.75</v>
      </c>
    </row>
    <row r="11" spans="3:13" x14ac:dyDescent="0.3">
      <c r="C11" s="114"/>
      <c r="D11" s="74"/>
      <c r="E11" s="113"/>
      <c r="F11" s="74"/>
      <c r="G11" s="74"/>
      <c r="H11" s="74"/>
      <c r="I11" s="74"/>
      <c r="J11" s="14" t="s">
        <v>8</v>
      </c>
      <c r="K11" s="15">
        <v>0.01</v>
      </c>
      <c r="L11" s="15">
        <v>0.7</v>
      </c>
      <c r="M11" s="16">
        <v>2.5000000000000001E-2</v>
      </c>
    </row>
    <row r="12" spans="3:13" x14ac:dyDescent="0.3">
      <c r="C12" s="114"/>
      <c r="D12" s="74" t="s">
        <v>35</v>
      </c>
      <c r="E12" s="113">
        <v>0.14000000000000001</v>
      </c>
      <c r="F12" s="74">
        <v>21</v>
      </c>
      <c r="G12" s="74">
        <v>26783</v>
      </c>
      <c r="H12" s="74">
        <v>165096</v>
      </c>
      <c r="I12" s="74">
        <v>5</v>
      </c>
      <c r="J12" s="14" t="s">
        <v>7</v>
      </c>
      <c r="K12" s="15">
        <v>0.99</v>
      </c>
      <c r="L12" s="15">
        <v>0.14000000000000001</v>
      </c>
      <c r="M12" s="16">
        <v>0.25</v>
      </c>
    </row>
    <row r="13" spans="3:13" x14ac:dyDescent="0.3">
      <c r="C13" s="114"/>
      <c r="D13" s="74"/>
      <c r="E13" s="113"/>
      <c r="F13" s="74"/>
      <c r="G13" s="74"/>
      <c r="H13" s="74"/>
      <c r="I13" s="74"/>
      <c r="J13" s="14" t="s">
        <v>8</v>
      </c>
      <c r="K13" s="15">
        <v>1E-4</v>
      </c>
      <c r="L13" s="15">
        <v>0.8</v>
      </c>
      <c r="M13" s="16">
        <v>2.5000000000000001E-4</v>
      </c>
    </row>
    <row r="14" spans="3:13" x14ac:dyDescent="0.3">
      <c r="C14" s="114" t="s">
        <v>39</v>
      </c>
      <c r="D14" s="74" t="s">
        <v>40</v>
      </c>
      <c r="E14" s="113">
        <v>0.94</v>
      </c>
      <c r="F14" s="74">
        <v>2333</v>
      </c>
      <c r="G14" s="74">
        <v>317186</v>
      </c>
      <c r="H14" s="74">
        <v>20762</v>
      </c>
      <c r="I14" s="77">
        <v>321</v>
      </c>
      <c r="J14" s="14" t="s">
        <v>7</v>
      </c>
      <c r="K14" s="15">
        <v>0.99</v>
      </c>
      <c r="L14" s="15">
        <v>0.94</v>
      </c>
      <c r="M14" s="16">
        <v>0.96</v>
      </c>
    </row>
    <row r="15" spans="3:13" x14ac:dyDescent="0.3">
      <c r="C15" s="115"/>
      <c r="D15" s="76"/>
      <c r="E15" s="116"/>
      <c r="F15" s="76"/>
      <c r="G15" s="76"/>
      <c r="H15" s="76"/>
      <c r="I15" s="78"/>
      <c r="J15" s="8" t="s">
        <v>8</v>
      </c>
      <c r="K15" s="17">
        <v>0.1</v>
      </c>
      <c r="L15" s="17">
        <v>0.9</v>
      </c>
      <c r="M15" s="18">
        <v>0.18</v>
      </c>
    </row>
    <row r="16" spans="3:13" x14ac:dyDescent="0.3">
      <c r="C16" s="114" t="s">
        <v>43</v>
      </c>
      <c r="D16" s="74" t="s">
        <v>36</v>
      </c>
      <c r="E16" s="113">
        <v>0.95</v>
      </c>
      <c r="F16" s="74">
        <v>172</v>
      </c>
      <c r="G16" s="74">
        <v>20741</v>
      </c>
      <c r="H16" s="74">
        <v>1182</v>
      </c>
      <c r="I16" s="77">
        <v>22</v>
      </c>
      <c r="J16" s="14" t="s">
        <v>7</v>
      </c>
      <c r="K16" s="15">
        <v>0.95</v>
      </c>
      <c r="L16" s="15">
        <v>1</v>
      </c>
      <c r="M16" s="16">
        <v>0.97</v>
      </c>
    </row>
    <row r="17" spans="3:13" x14ac:dyDescent="0.3">
      <c r="C17" s="115"/>
      <c r="D17" s="76"/>
      <c r="E17" s="116"/>
      <c r="F17" s="76"/>
      <c r="G17" s="76"/>
      <c r="H17" s="76"/>
      <c r="I17" s="78"/>
      <c r="J17" s="8" t="s">
        <v>8</v>
      </c>
      <c r="K17" s="17">
        <v>0.89</v>
      </c>
      <c r="L17" s="17">
        <v>0.13</v>
      </c>
      <c r="M17" s="18">
        <v>0.22</v>
      </c>
    </row>
    <row r="20" spans="3:13" x14ac:dyDescent="0.3">
      <c r="G20" s="5"/>
    </row>
    <row r="22" spans="3:13" x14ac:dyDescent="0.3">
      <c r="C22" s="29" t="s">
        <v>23</v>
      </c>
      <c r="D22" s="29" t="s">
        <v>0</v>
      </c>
      <c r="E22" s="9" t="s">
        <v>1</v>
      </c>
      <c r="F22" s="9" t="s">
        <v>9</v>
      </c>
      <c r="G22" s="9" t="s">
        <v>10</v>
      </c>
      <c r="H22" s="9" t="s">
        <v>11</v>
      </c>
      <c r="I22" s="10" t="s">
        <v>12</v>
      </c>
      <c r="J22" s="9" t="s">
        <v>2</v>
      </c>
      <c r="K22" s="9" t="s">
        <v>3</v>
      </c>
      <c r="L22" s="9" t="s">
        <v>4</v>
      </c>
      <c r="M22" s="9" t="s">
        <v>5</v>
      </c>
    </row>
    <row r="23" spans="3:13" x14ac:dyDescent="0.3">
      <c r="C23" s="114" t="s">
        <v>38</v>
      </c>
      <c r="D23" s="74" t="s">
        <v>40</v>
      </c>
      <c r="E23" s="113">
        <v>0.93</v>
      </c>
      <c r="F23" s="74">
        <v>11331</v>
      </c>
      <c r="G23" s="74">
        <v>1571672</v>
      </c>
      <c r="H23" s="74">
        <v>117852</v>
      </c>
      <c r="I23" s="74">
        <v>2154</v>
      </c>
      <c r="J23" s="14" t="s">
        <v>7</v>
      </c>
      <c r="K23" s="15">
        <v>0.99</v>
      </c>
      <c r="L23" s="15">
        <v>0.93</v>
      </c>
      <c r="M23" s="16">
        <v>0.96</v>
      </c>
    </row>
    <row r="24" spans="3:13" x14ac:dyDescent="0.3">
      <c r="C24" s="114"/>
      <c r="D24" s="74"/>
      <c r="E24" s="113"/>
      <c r="F24" s="74"/>
      <c r="G24" s="74"/>
      <c r="H24" s="74"/>
      <c r="I24" s="74"/>
      <c r="J24" s="14" t="s">
        <v>8</v>
      </c>
      <c r="K24" s="15">
        <v>0.09</v>
      </c>
      <c r="L24" s="15">
        <v>0.84</v>
      </c>
      <c r="M24" s="16">
        <v>0.16</v>
      </c>
    </row>
    <row r="25" spans="3:13" x14ac:dyDescent="0.3">
      <c r="C25" s="114"/>
      <c r="D25" s="74" t="s">
        <v>34</v>
      </c>
      <c r="E25" s="113">
        <v>0.6</v>
      </c>
      <c r="F25" s="74">
        <v>161</v>
      </c>
      <c r="G25" s="74">
        <v>83993</v>
      </c>
      <c r="H25" s="74">
        <v>53423</v>
      </c>
      <c r="I25" s="74">
        <v>111</v>
      </c>
      <c r="J25" s="14" t="s">
        <v>7</v>
      </c>
      <c r="K25" s="15">
        <v>0.99</v>
      </c>
      <c r="L25" s="15">
        <v>0.61</v>
      </c>
      <c r="M25" s="16">
        <v>0.76</v>
      </c>
    </row>
    <row r="26" spans="3:13" x14ac:dyDescent="0.3">
      <c r="C26" s="114"/>
      <c r="D26" s="74"/>
      <c r="E26" s="113"/>
      <c r="F26" s="74"/>
      <c r="G26" s="74"/>
      <c r="H26" s="74"/>
      <c r="I26" s="74"/>
      <c r="J26" s="14" t="s">
        <v>8</v>
      </c>
      <c r="K26" s="15">
        <v>3.0000000000000001E-3</v>
      </c>
      <c r="L26" s="15">
        <v>0.59</v>
      </c>
      <c r="M26" s="16">
        <v>0</v>
      </c>
    </row>
    <row r="27" spans="3:13" x14ac:dyDescent="0.3">
      <c r="C27" s="114"/>
      <c r="D27" s="74" t="s">
        <v>35</v>
      </c>
      <c r="E27" s="113">
        <v>0.99</v>
      </c>
      <c r="F27" s="74">
        <v>0</v>
      </c>
      <c r="G27" s="74">
        <v>191794</v>
      </c>
      <c r="H27" s="74">
        <v>85</v>
      </c>
      <c r="I27" s="74">
        <v>26</v>
      </c>
      <c r="J27" s="14" t="s">
        <v>7</v>
      </c>
      <c r="K27" s="15">
        <v>0.99</v>
      </c>
      <c r="L27" s="15">
        <v>0.99</v>
      </c>
      <c r="M27" s="16">
        <v>0.99</v>
      </c>
    </row>
    <row r="28" spans="3:13" x14ac:dyDescent="0.3">
      <c r="C28" s="114"/>
      <c r="D28" s="74"/>
      <c r="E28" s="113"/>
      <c r="F28" s="74"/>
      <c r="G28" s="74"/>
      <c r="H28" s="74"/>
      <c r="I28" s="74"/>
      <c r="J28" s="14" t="s">
        <v>8</v>
      </c>
      <c r="K28" s="15">
        <v>0</v>
      </c>
      <c r="L28" s="15">
        <v>0</v>
      </c>
      <c r="M28" s="16">
        <v>0</v>
      </c>
    </row>
    <row r="31" spans="3:13" x14ac:dyDescent="0.3">
      <c r="C31" s="29" t="s">
        <v>0</v>
      </c>
      <c r="D31" s="9" t="s">
        <v>1</v>
      </c>
      <c r="E31" s="9" t="s">
        <v>2</v>
      </c>
      <c r="F31" s="9" t="s">
        <v>3</v>
      </c>
      <c r="G31" s="9" t="s">
        <v>4</v>
      </c>
      <c r="H31" s="9" t="s">
        <v>5</v>
      </c>
    </row>
    <row r="32" spans="3:13" x14ac:dyDescent="0.3">
      <c r="C32" s="74" t="s">
        <v>40</v>
      </c>
      <c r="D32" s="113">
        <v>0.93</v>
      </c>
      <c r="E32" s="14" t="s">
        <v>7</v>
      </c>
      <c r="F32" s="15">
        <v>0.99</v>
      </c>
      <c r="G32" s="15">
        <v>0.93</v>
      </c>
      <c r="H32" s="16">
        <v>0.96</v>
      </c>
    </row>
    <row r="33" spans="3:10" x14ac:dyDescent="0.3">
      <c r="C33" s="74"/>
      <c r="D33" s="113"/>
      <c r="E33" s="14" t="s">
        <v>8</v>
      </c>
      <c r="F33" s="15">
        <v>0.09</v>
      </c>
      <c r="G33" s="15">
        <v>0.84</v>
      </c>
      <c r="H33" s="16">
        <v>0.16</v>
      </c>
    </row>
    <row r="34" spans="3:10" x14ac:dyDescent="0.3">
      <c r="C34" s="74" t="s">
        <v>42</v>
      </c>
      <c r="D34" s="113">
        <v>0.6</v>
      </c>
      <c r="E34" s="14" t="s">
        <v>7</v>
      </c>
      <c r="F34" s="15">
        <v>0.99</v>
      </c>
      <c r="G34" s="15">
        <v>0.61</v>
      </c>
      <c r="H34" s="16">
        <v>0.76</v>
      </c>
    </row>
    <row r="35" spans="3:10" x14ac:dyDescent="0.3">
      <c r="C35" s="74"/>
      <c r="D35" s="113"/>
      <c r="E35" s="14" t="s">
        <v>8</v>
      </c>
      <c r="F35" s="15">
        <v>3.0000000000000001E-3</v>
      </c>
      <c r="G35" s="15">
        <v>0.59</v>
      </c>
      <c r="H35" s="16">
        <v>0</v>
      </c>
    </row>
    <row r="36" spans="3:10" x14ac:dyDescent="0.3">
      <c r="C36" s="74" t="s">
        <v>35</v>
      </c>
      <c r="D36" s="113">
        <v>0.99</v>
      </c>
      <c r="E36" s="14" t="s">
        <v>7</v>
      </c>
      <c r="F36" s="15">
        <v>0.99</v>
      </c>
      <c r="G36" s="15">
        <v>0.99</v>
      </c>
      <c r="H36" s="16">
        <v>0.99</v>
      </c>
      <c r="J36" s="5"/>
    </row>
    <row r="37" spans="3:10" x14ac:dyDescent="0.3">
      <c r="C37" s="74"/>
      <c r="D37" s="113"/>
      <c r="E37" s="14" t="s">
        <v>8</v>
      </c>
      <c r="F37" s="15">
        <v>0</v>
      </c>
      <c r="G37" s="15">
        <v>0</v>
      </c>
      <c r="H37" s="16">
        <v>0</v>
      </c>
    </row>
  </sheetData>
  <mergeCells count="58">
    <mergeCell ref="I14:I15"/>
    <mergeCell ref="C14:C15"/>
    <mergeCell ref="D14:D15"/>
    <mergeCell ref="E14:E15"/>
    <mergeCell ref="F14:F15"/>
    <mergeCell ref="G14:G15"/>
    <mergeCell ref="H14:H15"/>
    <mergeCell ref="D12:D13"/>
    <mergeCell ref="E12:E13"/>
    <mergeCell ref="F12:F13"/>
    <mergeCell ref="G12:G13"/>
    <mergeCell ref="H12:H13"/>
    <mergeCell ref="H16:H17"/>
    <mergeCell ref="I16:I17"/>
    <mergeCell ref="C8:C13"/>
    <mergeCell ref="I12:I13"/>
    <mergeCell ref="I8:I9"/>
    <mergeCell ref="D10:D11"/>
    <mergeCell ref="E10:E11"/>
    <mergeCell ref="F10:F11"/>
    <mergeCell ref="G10:G11"/>
    <mergeCell ref="H10:H11"/>
    <mergeCell ref="I10:I11"/>
    <mergeCell ref="D8:D9"/>
    <mergeCell ref="E8:E9"/>
    <mergeCell ref="F8:F9"/>
    <mergeCell ref="G8:G9"/>
    <mergeCell ref="H8:H9"/>
    <mergeCell ref="D23:D24"/>
    <mergeCell ref="E23:E24"/>
    <mergeCell ref="F23:F24"/>
    <mergeCell ref="G23:G24"/>
    <mergeCell ref="C16:C17"/>
    <mergeCell ref="D16:D17"/>
    <mergeCell ref="E16:E17"/>
    <mergeCell ref="F16:F17"/>
    <mergeCell ref="G16:G17"/>
    <mergeCell ref="E25:E26"/>
    <mergeCell ref="F25:F26"/>
    <mergeCell ref="G25:G26"/>
    <mergeCell ref="H25:H26"/>
    <mergeCell ref="I25:I26"/>
    <mergeCell ref="D36:D37"/>
    <mergeCell ref="H27:H28"/>
    <mergeCell ref="I27:I28"/>
    <mergeCell ref="C32:C33"/>
    <mergeCell ref="D32:D33"/>
    <mergeCell ref="C34:C35"/>
    <mergeCell ref="D34:D35"/>
    <mergeCell ref="C36:C37"/>
    <mergeCell ref="C23:C28"/>
    <mergeCell ref="D27:D28"/>
    <mergeCell ref="E27:E28"/>
    <mergeCell ref="F27:F28"/>
    <mergeCell ref="G27:G28"/>
    <mergeCell ref="H23:H24"/>
    <mergeCell ref="I23:I24"/>
    <mergeCell ref="D25:D26"/>
  </mergeCells>
  <conditionalFormatting sqref="E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2:H37">
    <cfRule type="cellIs" dxfId="9" priority="1" operator="greaterThan">
      <formula>0.7</formula>
    </cfRule>
    <cfRule type="cellIs" dxfId="8" priority="2" operator="greaterThan">
      <formula>"0.7"</formula>
    </cfRule>
  </conditionalFormatting>
  <conditionalFormatting sqref="J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8:M17">
    <cfRule type="cellIs" dxfId="7" priority="7" operator="greaterThan">
      <formula>0.7</formula>
    </cfRule>
    <cfRule type="cellIs" dxfId="6" priority="8" operator="greaterThan">
      <formula>"0.7"</formula>
    </cfRule>
  </conditionalFormatting>
  <conditionalFormatting sqref="M23:M28">
    <cfRule type="cellIs" dxfId="5" priority="4" operator="greaterThan">
      <formula>0.7</formula>
    </cfRule>
    <cfRule type="cellIs" dxfId="4" priority="5" operator="greaterThan">
      <formula>"0.7"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D447-176F-474D-84CF-971D577CB8F1}">
  <dimension ref="B3:P32"/>
  <sheetViews>
    <sheetView zoomScale="79" workbookViewId="0">
      <selection activeCell="K13" sqref="K13"/>
    </sheetView>
  </sheetViews>
  <sheetFormatPr baseColWidth="10" defaultRowHeight="14.4" x14ac:dyDescent="0.3"/>
  <cols>
    <col min="2" max="2" width="23.5546875" bestFit="1" customWidth="1"/>
    <col min="3" max="3" width="14" customWidth="1"/>
    <col min="4" max="4" width="12.44140625" bestFit="1" customWidth="1"/>
  </cols>
  <sheetData>
    <row r="3" spans="2:12" x14ac:dyDescent="0.3">
      <c r="B3" s="29" t="s">
        <v>23</v>
      </c>
      <c r="C3" s="29" t="s">
        <v>0</v>
      </c>
      <c r="D3" s="9" t="s">
        <v>1</v>
      </c>
      <c r="E3" s="9" t="s">
        <v>9</v>
      </c>
      <c r="F3" s="9" t="s">
        <v>10</v>
      </c>
      <c r="G3" s="9" t="s">
        <v>11</v>
      </c>
      <c r="H3" s="10" t="s">
        <v>12</v>
      </c>
      <c r="I3" s="9" t="s">
        <v>2</v>
      </c>
      <c r="J3" s="9" t="s">
        <v>3</v>
      </c>
      <c r="K3" s="9" t="s">
        <v>4</v>
      </c>
      <c r="L3" s="9" t="s">
        <v>5</v>
      </c>
    </row>
    <row r="4" spans="2:12" ht="14.4" customHeight="1" x14ac:dyDescent="0.3">
      <c r="B4" s="125" t="s">
        <v>41</v>
      </c>
      <c r="C4" s="81" t="s">
        <v>40</v>
      </c>
      <c r="D4" s="126">
        <v>0.99</v>
      </c>
      <c r="E4" s="81">
        <v>44</v>
      </c>
      <c r="F4" s="81">
        <v>337936</v>
      </c>
      <c r="G4" s="81">
        <v>12</v>
      </c>
      <c r="H4" s="81">
        <v>2610</v>
      </c>
      <c r="I4" s="11" t="s">
        <v>7</v>
      </c>
      <c r="J4" s="12">
        <v>0.99</v>
      </c>
      <c r="K4" s="12">
        <v>0.99</v>
      </c>
      <c r="L4" s="13">
        <v>0.99</v>
      </c>
    </row>
    <row r="5" spans="2:12" x14ac:dyDescent="0.3">
      <c r="B5" s="114"/>
      <c r="C5" s="74"/>
      <c r="D5" s="113"/>
      <c r="E5" s="74"/>
      <c r="F5" s="74"/>
      <c r="G5" s="74"/>
      <c r="H5" s="74"/>
      <c r="I5" s="14" t="s">
        <v>8</v>
      </c>
      <c r="J5" s="15">
        <v>0.78</v>
      </c>
      <c r="K5" s="15">
        <v>1.7000000000000001E-2</v>
      </c>
      <c r="L5" s="16">
        <v>3.2000000000000001E-2</v>
      </c>
    </row>
    <row r="6" spans="2:12" x14ac:dyDescent="0.3">
      <c r="B6" s="114"/>
      <c r="C6" s="74" t="s">
        <v>42</v>
      </c>
      <c r="D6" s="113">
        <v>0.99</v>
      </c>
      <c r="E6" s="74">
        <v>0</v>
      </c>
      <c r="F6" s="74">
        <v>137349</v>
      </c>
      <c r="G6" s="74">
        <v>67</v>
      </c>
      <c r="H6" s="74">
        <v>272</v>
      </c>
      <c r="I6" s="14" t="s">
        <v>7</v>
      </c>
      <c r="J6" s="15">
        <v>0.99</v>
      </c>
      <c r="K6" s="15">
        <v>0.999</v>
      </c>
      <c r="L6" s="16">
        <v>0.998</v>
      </c>
    </row>
    <row r="7" spans="2:12" x14ac:dyDescent="0.3">
      <c r="B7" s="115"/>
      <c r="C7" s="76"/>
      <c r="D7" s="116"/>
      <c r="E7" s="76"/>
      <c r="F7" s="76"/>
      <c r="G7" s="76"/>
      <c r="H7" s="76"/>
      <c r="I7" s="8" t="s">
        <v>8</v>
      </c>
      <c r="J7" s="17">
        <v>0</v>
      </c>
      <c r="K7" s="17">
        <v>0</v>
      </c>
      <c r="L7" s="18">
        <v>0</v>
      </c>
    </row>
    <row r="8" spans="2:12" x14ac:dyDescent="0.3">
      <c r="B8" s="36"/>
    </row>
    <row r="9" spans="2:12" x14ac:dyDescent="0.3">
      <c r="B9" s="36"/>
    </row>
    <row r="12" spans="2:12" ht="15" thickBot="1" x14ac:dyDescent="0.35">
      <c r="B12" s="48" t="s">
        <v>0</v>
      </c>
      <c r="C12" s="49" t="s">
        <v>1</v>
      </c>
      <c r="D12" s="48" t="s">
        <v>2</v>
      </c>
      <c r="E12" s="48" t="s">
        <v>3</v>
      </c>
      <c r="F12" s="48" t="s">
        <v>4</v>
      </c>
      <c r="G12" s="48" t="s">
        <v>5</v>
      </c>
    </row>
    <row r="13" spans="2:12" x14ac:dyDescent="0.3">
      <c r="B13" s="117" t="s">
        <v>40</v>
      </c>
      <c r="C13" s="119">
        <v>0.99</v>
      </c>
      <c r="D13" s="50" t="s">
        <v>7</v>
      </c>
      <c r="E13" s="50">
        <v>0.99</v>
      </c>
      <c r="F13" s="50">
        <v>0.99</v>
      </c>
      <c r="G13" s="50">
        <v>0.99</v>
      </c>
    </row>
    <row r="14" spans="2:12" ht="15" thickBot="1" x14ac:dyDescent="0.35">
      <c r="B14" s="118"/>
      <c r="C14" s="120"/>
      <c r="D14" s="51" t="s">
        <v>8</v>
      </c>
      <c r="E14" s="51">
        <v>0.78</v>
      </c>
      <c r="F14" s="51">
        <v>1.7000000000000001E-2</v>
      </c>
      <c r="G14" s="51">
        <v>3.2000000000000001E-2</v>
      </c>
    </row>
    <row r="15" spans="2:12" x14ac:dyDescent="0.3">
      <c r="B15" s="121" t="s">
        <v>42</v>
      </c>
      <c r="C15" s="122">
        <v>0.99</v>
      </c>
      <c r="D15" s="50" t="s">
        <v>7</v>
      </c>
      <c r="E15" s="50">
        <v>0.99</v>
      </c>
      <c r="F15" s="50">
        <v>0.999</v>
      </c>
      <c r="G15" s="50">
        <v>0.998</v>
      </c>
    </row>
    <row r="16" spans="2:12" ht="15" thickBot="1" x14ac:dyDescent="0.35">
      <c r="B16" s="118"/>
      <c r="C16" s="120"/>
      <c r="D16" s="51" t="s">
        <v>8</v>
      </c>
      <c r="E16" s="51">
        <v>0</v>
      </c>
      <c r="F16" s="51">
        <v>0</v>
      </c>
      <c r="G16" s="51">
        <v>0</v>
      </c>
    </row>
    <row r="17" spans="2:16" x14ac:dyDescent="0.3">
      <c r="B17" s="121" t="s">
        <v>35</v>
      </c>
      <c r="C17" s="122">
        <v>0.99</v>
      </c>
      <c r="D17" s="50" t="s">
        <v>7</v>
      </c>
      <c r="E17" s="50">
        <v>0.99</v>
      </c>
      <c r="F17" s="50">
        <v>0.99</v>
      </c>
      <c r="G17" s="50">
        <v>0.99</v>
      </c>
    </row>
    <row r="18" spans="2:16" x14ac:dyDescent="0.3">
      <c r="B18" s="123"/>
      <c r="C18" s="124"/>
      <c r="D18" s="50" t="s">
        <v>8</v>
      </c>
      <c r="E18" s="50">
        <v>0</v>
      </c>
      <c r="F18" s="50">
        <v>0</v>
      </c>
      <c r="G18" s="50">
        <v>0</v>
      </c>
    </row>
    <row r="19" spans="2:16" ht="15.6" x14ac:dyDescent="0.3">
      <c r="B19" s="52"/>
    </row>
    <row r="22" spans="2:16" x14ac:dyDescent="0.3">
      <c r="N22" s="5"/>
    </row>
    <row r="32" spans="2:16" x14ac:dyDescent="0.3">
      <c r="P32" s="5"/>
    </row>
  </sheetData>
  <mergeCells count="19">
    <mergeCell ref="H6:H7"/>
    <mergeCell ref="B4:B7"/>
    <mergeCell ref="H4:H5"/>
    <mergeCell ref="C4:C5"/>
    <mergeCell ref="D4:D5"/>
    <mergeCell ref="E4:E5"/>
    <mergeCell ref="F4:F5"/>
    <mergeCell ref="G4:G5"/>
    <mergeCell ref="C6:C7"/>
    <mergeCell ref="D6:D7"/>
    <mergeCell ref="E6:E7"/>
    <mergeCell ref="F6:F7"/>
    <mergeCell ref="G6:G7"/>
    <mergeCell ref="B13:B14"/>
    <mergeCell ref="C13:C14"/>
    <mergeCell ref="B15:B16"/>
    <mergeCell ref="C15:C16"/>
    <mergeCell ref="B17:B18"/>
    <mergeCell ref="C17:C18"/>
  </mergeCells>
  <conditionalFormatting sqref="I5 I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7">
    <cfRule type="cellIs" dxfId="3" priority="2" operator="greaterThan">
      <formula>0.7</formula>
    </cfRule>
    <cfRule type="cellIs" dxfId="2" priority="3" operator="greaterThan">
      <formula>"0.7"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4D60-28D7-4D7C-AA66-A344B4576D0E}">
  <dimension ref="A1:J25"/>
  <sheetViews>
    <sheetView tabSelected="1" zoomScale="91" workbookViewId="0">
      <selection activeCell="N21" sqref="N21"/>
    </sheetView>
  </sheetViews>
  <sheetFormatPr baseColWidth="10" defaultRowHeight="14.4" x14ac:dyDescent="0.3"/>
  <cols>
    <col min="1" max="1" width="19.88671875" bestFit="1" customWidth="1"/>
    <col min="2" max="3" width="9" bestFit="1" customWidth="1"/>
    <col min="4" max="4" width="9.6640625" bestFit="1" customWidth="1"/>
    <col min="5" max="5" width="5.6640625" bestFit="1" customWidth="1"/>
    <col min="6" max="6" width="13.21875" bestFit="1" customWidth="1"/>
    <col min="7" max="7" width="11" bestFit="1" customWidth="1"/>
    <col min="8" max="8" width="18.88671875" bestFit="1" customWidth="1"/>
  </cols>
  <sheetData>
    <row r="1" spans="1:10" x14ac:dyDescent="0.3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59</v>
      </c>
      <c r="I1" t="s">
        <v>60</v>
      </c>
      <c r="J1" t="s">
        <v>52</v>
      </c>
    </row>
    <row r="2" spans="1:10" x14ac:dyDescent="0.3">
      <c r="A2" t="s">
        <v>56</v>
      </c>
      <c r="B2">
        <v>7.0000000000000007E-2</v>
      </c>
      <c r="C2">
        <v>0.11</v>
      </c>
      <c r="D2">
        <v>0.125</v>
      </c>
      <c r="E2">
        <v>0.08</v>
      </c>
      <c r="F2">
        <v>0.21</v>
      </c>
      <c r="G2">
        <v>5.6000000000000001E-2</v>
      </c>
      <c r="H2">
        <v>0.09</v>
      </c>
      <c r="I2">
        <v>0.17</v>
      </c>
      <c r="J2">
        <v>0.11</v>
      </c>
    </row>
    <row r="3" spans="1:10" x14ac:dyDescent="0.3">
      <c r="A3" t="s">
        <v>57</v>
      </c>
      <c r="B3">
        <v>0.1</v>
      </c>
      <c r="C3">
        <v>0.06</v>
      </c>
      <c r="D3">
        <v>0.21</v>
      </c>
      <c r="E3">
        <v>0.16</v>
      </c>
      <c r="F3">
        <v>0.13</v>
      </c>
      <c r="G3">
        <v>5.7000000000000002E-2</v>
      </c>
      <c r="H3">
        <v>0.5</v>
      </c>
      <c r="I3">
        <v>0.14000000000000001</v>
      </c>
      <c r="J3">
        <v>0</v>
      </c>
    </row>
    <row r="4" spans="1:10" x14ac:dyDescent="0.3">
      <c r="A4" t="s">
        <v>58</v>
      </c>
      <c r="B4">
        <v>0.22</v>
      </c>
      <c r="C4">
        <v>7.0000000000000007E-2</v>
      </c>
      <c r="D4">
        <v>0.16</v>
      </c>
      <c r="E4">
        <v>0.18</v>
      </c>
      <c r="F4">
        <v>2.5000000000000001E-2</v>
      </c>
      <c r="G4">
        <v>0.156</v>
      </c>
      <c r="H4">
        <v>0.06</v>
      </c>
      <c r="I4">
        <v>0.22</v>
      </c>
      <c r="J4">
        <v>0.17</v>
      </c>
    </row>
    <row r="5" spans="1:10" x14ac:dyDescent="0.3">
      <c r="A5" t="s">
        <v>54</v>
      </c>
      <c r="B5">
        <v>0.12</v>
      </c>
      <c r="C5">
        <v>0.13</v>
      </c>
      <c r="D5">
        <v>0.14799999999999999</v>
      </c>
      <c r="E5">
        <v>0.11</v>
      </c>
      <c r="F5">
        <v>0.18</v>
      </c>
      <c r="G5">
        <v>0.157</v>
      </c>
      <c r="H5">
        <v>0.23</v>
      </c>
      <c r="I5">
        <v>0.08</v>
      </c>
      <c r="J5">
        <v>0.08</v>
      </c>
    </row>
    <row r="6" spans="1:10" x14ac:dyDescent="0.3">
      <c r="A6" t="s">
        <v>55</v>
      </c>
      <c r="B6">
        <v>0.09</v>
      </c>
      <c r="C6">
        <v>0.18</v>
      </c>
      <c r="D6">
        <v>0.05</v>
      </c>
      <c r="E6">
        <v>7.0000000000000007E-2</v>
      </c>
      <c r="F6">
        <v>0.11</v>
      </c>
      <c r="G6">
        <v>0.1575</v>
      </c>
      <c r="H6">
        <v>0.04</v>
      </c>
      <c r="I6">
        <v>0.25</v>
      </c>
      <c r="J6">
        <v>0.18</v>
      </c>
    </row>
    <row r="7" spans="1:10" x14ac:dyDescent="0.3">
      <c r="A7" t="s">
        <v>53</v>
      </c>
      <c r="B7">
        <v>0.4</v>
      </c>
      <c r="C7">
        <v>0.45</v>
      </c>
      <c r="D7">
        <v>0.32</v>
      </c>
      <c r="E7">
        <v>0.4</v>
      </c>
      <c r="F7">
        <v>0.35699999999999998</v>
      </c>
      <c r="G7">
        <v>0.35699999999999998</v>
      </c>
      <c r="H7">
        <v>0.08</v>
      </c>
      <c r="I7">
        <v>0.13</v>
      </c>
      <c r="J7">
        <v>0.49</v>
      </c>
    </row>
    <row r="10" spans="1:10" x14ac:dyDescent="0.3">
      <c r="J10" s="5"/>
    </row>
    <row r="25" spans="4:4" x14ac:dyDescent="0.3">
      <c r="D25" s="53"/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BEF59-DC90-4B9F-94DB-7FAD5E6DA22E}">
  <dimension ref="C5:I11"/>
  <sheetViews>
    <sheetView topLeftCell="B1" zoomScale="70" workbookViewId="0">
      <selection activeCell="D6" sqref="D6:I11"/>
    </sheetView>
  </sheetViews>
  <sheetFormatPr baseColWidth="10" defaultRowHeight="14.4" x14ac:dyDescent="0.3"/>
  <sheetData>
    <row r="5" spans="3:9" x14ac:dyDescent="0.3">
      <c r="C5" s="29" t="s">
        <v>23</v>
      </c>
      <c r="D5" s="29" t="s">
        <v>0</v>
      </c>
      <c r="E5" s="9" t="s">
        <v>1</v>
      </c>
      <c r="F5" s="9" t="s">
        <v>2</v>
      </c>
      <c r="G5" s="9" t="s">
        <v>3</v>
      </c>
      <c r="H5" s="9" t="s">
        <v>4</v>
      </c>
      <c r="I5" s="9" t="s">
        <v>5</v>
      </c>
    </row>
    <row r="6" spans="3:9" ht="14.4" customHeight="1" x14ac:dyDescent="0.3">
      <c r="C6" s="127" t="s">
        <v>41</v>
      </c>
      <c r="D6" s="81" t="s">
        <v>42</v>
      </c>
      <c r="E6" s="128">
        <v>0.61</v>
      </c>
      <c r="F6" s="11" t="s">
        <v>7</v>
      </c>
      <c r="G6" s="12">
        <v>0.65</v>
      </c>
      <c r="H6" s="12">
        <v>0.6</v>
      </c>
      <c r="I6" s="13">
        <v>0.63</v>
      </c>
    </row>
    <row r="7" spans="3:9" x14ac:dyDescent="0.3">
      <c r="C7" s="105"/>
      <c r="D7" s="74"/>
      <c r="E7" s="75"/>
      <c r="F7" s="14" t="s">
        <v>69</v>
      </c>
      <c r="G7" s="15">
        <v>0.44</v>
      </c>
      <c r="H7" s="15">
        <v>0.7</v>
      </c>
      <c r="I7" s="16">
        <v>0.54</v>
      </c>
    </row>
    <row r="8" spans="3:9" x14ac:dyDescent="0.3">
      <c r="C8" s="105"/>
      <c r="D8" s="76"/>
      <c r="E8" s="129"/>
      <c r="F8" s="14" t="s">
        <v>68</v>
      </c>
      <c r="G8" s="15">
        <v>0.69</v>
      </c>
      <c r="H8" s="15">
        <v>0.6</v>
      </c>
      <c r="I8" s="16">
        <v>0.64</v>
      </c>
    </row>
    <row r="9" spans="3:9" x14ac:dyDescent="0.3">
      <c r="C9" s="105"/>
      <c r="D9" s="81" t="s">
        <v>70</v>
      </c>
      <c r="E9" s="126">
        <v>0.28999999999999998</v>
      </c>
      <c r="F9" s="11" t="s">
        <v>7</v>
      </c>
      <c r="G9" s="12">
        <v>0.25</v>
      </c>
      <c r="H9" s="12">
        <v>0.05</v>
      </c>
      <c r="I9" s="13">
        <v>0.08</v>
      </c>
    </row>
    <row r="10" spans="3:9" x14ac:dyDescent="0.3">
      <c r="C10" s="105"/>
      <c r="D10" s="74"/>
      <c r="E10" s="113"/>
      <c r="F10" s="14" t="s">
        <v>69</v>
      </c>
      <c r="G10" s="15">
        <v>0.75</v>
      </c>
      <c r="H10" s="15">
        <v>0.5</v>
      </c>
      <c r="I10" s="16">
        <v>0.6</v>
      </c>
    </row>
    <row r="11" spans="3:9" x14ac:dyDescent="0.3">
      <c r="C11" s="105"/>
      <c r="D11" s="74"/>
      <c r="E11" s="113"/>
      <c r="F11" s="14" t="s">
        <v>68</v>
      </c>
      <c r="G11" s="15">
        <v>7.0000000000000007E-2</v>
      </c>
      <c r="H11" s="15">
        <v>0.87</v>
      </c>
      <c r="I11" s="16">
        <v>0.13</v>
      </c>
    </row>
  </sheetData>
  <mergeCells count="5">
    <mergeCell ref="C6:C11"/>
    <mergeCell ref="D9:D11"/>
    <mergeCell ref="E9:E11"/>
    <mergeCell ref="D6:D8"/>
    <mergeCell ref="E6:E8"/>
  </mergeCells>
  <conditionalFormatting sqref="F11 F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:I11">
    <cfRule type="cellIs" dxfId="1" priority="2" operator="greaterThan">
      <formula>0.7</formula>
    </cfRule>
    <cfRule type="cellIs" dxfId="0" priority="3" operator="greaterThan">
      <formula>"0.7"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56452F-6708-4154-B671-5D15454C85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DeVCopy</vt:lpstr>
      <vt:lpstr>Hoja1</vt:lpstr>
      <vt:lpstr>Hoja2</vt:lpstr>
      <vt:lpstr>Hoja3</vt:lpstr>
      <vt:lpstr>Hoja4</vt:lpstr>
      <vt:lpstr>Hoja5</vt:lpstr>
      <vt:lpstr>feature_imp</vt:lpstr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</dc:creator>
  <cp:lastModifiedBy>Beatriz Sánchez Espada</cp:lastModifiedBy>
  <dcterms:created xsi:type="dcterms:W3CDTF">2015-06-05T18:19:34Z</dcterms:created>
  <dcterms:modified xsi:type="dcterms:W3CDTF">2025-07-02T22:21:23Z</dcterms:modified>
</cp:coreProperties>
</file>